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xWork\structural_engineering_lib\CSharp\samples\"/>
    </mc:Choice>
  </mc:AlternateContent>
  <xr:revisionPtr revIDLastSave="0" documentId="8_{5C6EFD2C-9359-4050-8D76-04D8E605C3AE}" xr6:coauthVersionLast="47" xr6:coauthVersionMax="47" xr10:uidLastSave="{00000000-0000-0000-0000-000000000000}"/>
  <bookViews>
    <workbookView xWindow="2620" yWindow="2620" windowWidth="14400" windowHeight="7270" xr2:uid="{24B03BA0-2E27-4B8B-94BC-CF6C4C5520F2}"/>
  </bookViews>
  <sheets>
    <sheet name="StructAutomate" sheetId="5" r:id="rId1"/>
    <sheet name="SA_Operations" sheetId="4" r:id="rId2"/>
    <sheet name="SA_Members" sheetId="3" r:id="rId3"/>
    <sheet name="SA_Project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5" l="1"/>
  <c r="B6" i="5"/>
</calcChain>
</file>

<file path=xl/sharedStrings.xml><?xml version="1.0" encoding="utf-8"?>
<sst xmlns="http://schemas.openxmlformats.org/spreadsheetml/2006/main" count="2423" uniqueCount="438">
  <si>
    <t>template_id</t>
  </si>
  <si>
    <t>workbook_id</t>
  </si>
  <si>
    <t>project_id</t>
  </si>
  <si>
    <t>project_request_json</t>
  </si>
  <si>
    <t>structural-excel-workbook/v1</t>
  </si>
  <si>
    <t>standalone-beam-sample-r1</t>
  </si>
  <si>
    <t>SAMPLE-PROJECT</t>
  </si>
  <si>
    <t>{"project":{"project_id":"SAMPLE-PROJECT","name":"Standalone ordinary RC beam design","revision_id":"sample-project-r1"},"unit_basis":{"length_unit":"mm","force_unit":"N","moment_unit":"Nmm","stress_unit":"N/mm2"},"code_data_revisions":[{"binding_id":"is456-flexure","revision_id":"is456-wp01-v1","source_reference":"IS 456 flexure data"},{"binding_id":"is456-shear","revision_id":"is456-wp02-v1","source_reference":"IS 456 shear and torsion data"},{"binding_id":"is456-sls","revision_id":"is456-wp04-v1","source_reference":"IS 456 serviceability data"},{"binding_id":"is456-detailing","revision_id":"is456-amd6-wp05-v1","source_reference":"IS 456 detailing data"},{"binding_id":"is13920-detailing","revision_id":"is13920-2016-amd2-wp05-v1","source_reference":"IS 13920 detailing data"}],"profile":{"profile_id":"ORDINARY-BEAM","revision_id":"ordinary-beam-profile-r1","design_code":"IS 456:2000 with Amendment 6","seismic_design_profile":"ordinary_is456","check_rules":[{"rule_id":"flexure","operation_semantic_id":"is456.beam.flexure.check/v1","scope":"member","expected_applicability":"applicable","source_reference":"Sample flexure scope","code_data_binding_id":"is456-flexure"},{"rule_id":"shear","operation_semantic_id":"is456.beam.shear.check/v1","scope":"station","expected_applicability":"applicable","source_reference":"Sample shear scope","code_data_binding_id":"is456-shear"},{"rule_id":"torsion","operation_semantic_id":"is456.beam.torsion.check/v1","scope":"station","expected_applicability":"applicable","source_reference":"Sample torsion scope","code_data_binding_id":"is456-shear"},{"rule_id":"deflection","operation_semantic_id":"is456.beam.deflection.check/v1","scope":"span","expected_applicability":"applicable","source_reference":"Sample deflection scope","code_data_binding_id":"is456-sls"},{"rule_id":"crack","operation_semantic_id":"is456.beam.crack_width.check/v1","scope":"station","expected_applicability":"applicable","source_reference":"Sample crack scope","code_data_binding_id":"is456-sls"},{"rule_id":"anchorage","operation_semantic_id":"is456.beam.anchorage.check/v1","scope":"bar_end","expected_applicability":"applicable","source_reference":"Sample anchorage scope","code_data_binding_id":"is456-detailing"},{"rule_id":"lap","operation_semantic_id":"is456.beam.lap_curtailment.check/v1","scope":"span","expected_applicability":"applicable","source_reference":"Sample lap scope","code_data_binding_id":"is456-detailing"},{"rule_id":"seismic","operation_semantic_id":"is456.beam.seismic_detailing.check/v1","scope":"member","expected_applicability":"not_applicable","source_reference":"Sample seismic scope","code_data_binding_id":"is13920-detailing"},{"rule_id":"arrangement","operation_semantic_id":"structural.reinforcement_arrangement.check/v1","scope":"arrangement","expected_applicability":"applicable","source_reference":"Sample arrangement scope","code_data_binding_id":"is456-detailing"}],"criteria":[{"criterion_id":"nominal-cover","value":25,"unit":"mm","source_reference":"sample project durability basis"},{"criterion_id":"maximum-aggregate-size","value":20,"unit":"mm","source_reference":"sample project material basis"}]},"catalogue_revisions":[{"binding_id":"rebar","revision_id":"sample-rebar-catalogue-r1","source_reference":"Fe415 bars and 6/9/12 m stock"}]}</t>
  </si>
  <si>
    <t>member_id</t>
  </si>
  <si>
    <t>request_id</t>
  </si>
  <si>
    <t>member_design_seed_json</t>
  </si>
  <si>
    <t>bar_path_request_json</t>
  </si>
  <si>
    <t>bbs_seed_json</t>
  </si>
  <si>
    <t>quantity_seed_json</t>
  </si>
  <si>
    <t>cost_seed_json</t>
  </si>
  <si>
    <t>package_seed_json</t>
  </si>
  <si>
    <t>optimization_seed_json</t>
  </si>
  <si>
    <t>B001</t>
  </si>
  <si>
    <t>standalone-beam-sample-r1:B001:r1</t>
  </si>
  <si>
    <t>{"member_id":"B001","topology_revision_id":"B001-topology-r1","action_revision_id":"B001-actions-r1","reinforcement_revision_id":"B001-reinforcement-r1","design_scope_revision_id":"B001-scope-r1","scope_instances":[{"scope_id":"S1","scope":"station","source_revision_id":"B001-scope-r1"},{"scope_id":"SPAN-1","scope":"span","source_revision_id":"B001-scope-r1"},{"scope_id":"RIGHT","scope":"bar_end","source_revision_id":"B001-scope-r1"},{"scope_id":"MID","scope":"arrangement","source_revision_id":"B001-scope-r1"}],"depth_iterations":[{"iteration_number":1,"reinforcement_revision_id":"B001-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</si>
  <si>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001","physical_span_id":"SPAN-1","topology_revision_id":"B001-topology-r1","detail_revision_id":"B001-detail-r1","coordinate_system":{"datum_id":"B001-local","station_axis":"member_station_x","section_horizontal_axis":"section_x_from_left","section_vertical_axis":"section_y_from_top"},"member_start_x_mm":0,"member_end_x_mm":6000,"section_width_mm":300,"section_depth_mm":500,"longitudinal_paths":[{"bar_id":"B001-T1","bar_mark":"T16","role":"top_longitudinal","layer":1,"diameter_mm":16,"steel_grade_n_per_mm2":415,"nodes":[{"node_id":"B001-T1-1","point":{"station_x_mm":0,"section_x_from_left_mm":60,"section_y_from_top_mm":60},"bend_radius_mm":null,"bend_kind":null},{"node_id":"B001-T1-2","point":{"station_x_mm":6000,"section_x_from_left_mm":60,"section_y_from_top_mm":60},"bend_radius_mm":null,"bend_kind":null}],"closed":false,"bundle_size":1,"anchorage_requirement_ids":null,"splice_ids":[]},{"bar_id":"B001-T2","bar_mark":"T16","role":"top_longitudinal","layer":1,"diameter_mm":16,"steel_grade_n_per_mm2":415,"nodes":[{"node_id":"B001-T2-1","point":{"station_x_mm":0,"section_x_from_left_mm":240,"section_y_from_top_mm":60},"bend_radius_mm":null,"bend_kind":null},{"node_id":"B001-T2-2","point":{"station_x_mm":6000,"section_x_from_left_mm":240,"section_y_from_top_mm":60},"bend_radius_mm":null,"bend_kind":null}],"closed":false,"bundle_size":1,"anchorage_requirement_ids":null,"splice_ids":[]},{"bar_id":"B001-B1","bar_mark":"B20","role":"bottom_longitudinal","layer":1,"diameter_mm":20,"steel_grade_n_per_mm2":415,"nodes":[{"node_id":"B001-B1-1","point":{"station_x_mm":0,"section_x_from_left_mm":60,"section_y_from_top_mm":440},"bend_radius_mm":null,"bend_kind":null},{"node_id":"B001-B1-2","point":{"station_x_mm":6000,"section_x_from_left_mm":60,"section_y_from_top_mm":440},"bend_radius_mm":null,"bend_kind":null}],"closed":false,"bundle_size":1,"anchorage_requirement_ids":null,"splice_ids":["SP-1"]},{"bar_id":"B001-B2","bar_mark":"B20","role":"bottom_longitudinal","layer":1,"diameter_mm":20,"steel_grade_n_per_mm2":415,"nodes":[{"node_id":"B001-B2-1","point":{"station_x_mm":0,"section_x_from_left_mm":150,"section_y_from_top_mm":440},"bend_radius_mm":null,"bend_kind":null},{"node_id":"B001-B2-2","point":{"station_x_mm":6000,"section_x_from_left_mm":150,"section_y_from_top_mm":440},"bend_radius_mm":null,"bend_kind":null}],"closed":false,"bundle_size":1,"anchorage_requirement_ids":null,"splice_ids":["SP-1"]},{"bar_id":"B001-B3","bar_mark":"B20","role":"bottom_longitudinal","layer":1,"diameter_mm":20,"steel_grade_n_per_mm2":415,"nodes":[{"node_id":"B001-B3-1","point":{"station_x_mm":0,"section_x_from_left_mm":240,"section_y_from_top_mm":440},"bend_radius_mm":null,"bend_kind":null},{"node_id":"B001-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</si>
  <si>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001","detail_revision_id":"B001-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</si>
  <si>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001","detail_revision_id":"B001-detail-r1","concrete_overlap_policy_id":"beam-net-prism-v1","formwork_measurement_policy_id":"contact-face-v1","concrete_segments":[{"segment_id":"CONCRETE-1","member_id":"B001","material_id":"M25","ownership_id":"B001-concrete","cross_section_area_mm2":150000,"physical_length_mm":6000,"owns_monolithic_interface":false,"deductions":null}],"formwork_faces":[{"face_id":"SOFFIT","member_id":"B001","category":"soffit","ownership_id":"B001-soffit","gross_area_mm2":1800000,"measurement_state":"included","exclusion_reason":null,"deductions":null},{"face_id":"SIDE-L","member_id":"B001","category":"side_left","ownership_id":"B001-side-left","gross_area_mm2":3000000,"measurement_state":"included","exclusion_reason":null,"deductions":null},{"face_id":"SIDE-R","member_id":"B001","category":"side_right","ownership_id":"B001-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</si>
  <si>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001","detail_revision_id":"B001-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</si>
  <si>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001","package_revision_id":"B001-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001","shear@S1","torsion@S1","deflection@SPAN-1","crack@S1","anchorage@RIGHT","lap@SPAN-1","seismic@B001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quotation."],"traces":[{"trace_id":"TRACE-01","leaf_id":"flexure@B001","rule_reference":"flexure","formula_reference":"native-operation-result/v1","normalized_substitution":"See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identity."},{"trace_id":"TRACE-08","leaf_id":"seismic@B001","rule_reference":"seismic","formula_reference":"native-operation-result/v1","normalized_substitution":"See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identity."}],"drawings":[{"view_id":"B001-ELEV","kind":"beam_elevation","detail_revision_id":"B001-detail-r1","data":[{"datum_id":"B001-D1","source_identity":"B001","label":"span","value":"6000","unit":"mm"},{"datum_id":"B001-D2","source_identity":"B001-B1","label":"bottom bar mark","value":"B20","unit":null}]}],"limitations":["Ordinary rectangular single-span beam example; independent project review remains required."],"human_actions":null}</t>
  </si>
  <si>
    <t>{"search_id":"B001-search-r1","domain":{"domain_id":"B001-domain","revision_id":"sample-domain-r1","project_basis_id":"beam_project_basis_id:pf4-canonical-json-v1:14b0493855f25ec337790bf76242c1d7f5bf9e1341d6039c6825d2dbbbc386d5","profile_revision_id":"ordinary-beam-profile-r1","member_id":"B001","topology_revision_id":"B001-topology-r1","action_revision_id":"B001-actions-r1","design_scope_revision_id":"B001-scope-r1","baseline_analysis_revision_id":"B001-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</si>
  <si>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B002</t>
  </si>
  <si>
    <t>standalone-beam-sample-r1:B002:r1</t>
  </si>
  <si>
    <t>{"member_id":"B002","topology_revision_id":"B002-topology-r1","action_revision_id":"B002-actions-r1","reinforcement_revision_id":"B002-reinforcement-r1","design_scope_revision_id":"B002-scope-r1","scope_instances":[{"scope_id":"S1","scope":"station","source_revision_id":"B002-scope-r1"},{"scope_id":"SPAN-1","scope":"span","source_revision_id":"B002-scope-r1"},{"scope_id":"RIGHT","scope":"bar_end","source_revision_id":"B002-scope-r1"},{"scope_id":"MID","scope":"arrangement","source_revision_id":"B002-scope-r1"}],"depth_iterations":[{"iteration_number":1,"reinforcement_revision_id":"B002-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</si>
  <si>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002","physical_span_id":"SPAN-1","topology_revision_id":"B002-topology-r1","detail_revision_id":"B002-detail-r1","coordinate_system":{"datum_id":"B002-local","station_axis":"member_station_x","section_horizontal_axis":"section_x_from_left","section_vertical_axis":"section_y_from_top"},"member_start_x_mm":0,"member_end_x_mm":6000,"section_width_mm":300,"section_depth_mm":500,"longitudinal_paths":[{"bar_id":"B002-T1","bar_mark":"T16","role":"top_longitudinal","layer":1,"diameter_mm":16,"steel_grade_n_per_mm2":415,"nodes":[{"node_id":"B002-T1-1","point":{"station_x_mm":0,"section_x_from_left_mm":60,"section_y_from_top_mm":60},"bend_radius_mm":null,"bend_kind":null},{"node_id":"B002-T1-2","point":{"station_x_mm":6000,"section_x_from_left_mm":60,"section_y_from_top_mm":60},"bend_radius_mm":null,"bend_kind":null}],"closed":false,"bundle_size":1,"anchorage_requirement_ids":null,"splice_ids":[]},{"bar_id":"B002-T2","bar_mark":"T16","role":"top_longitudinal","layer":1,"diameter_mm":16,"steel_grade_n_per_mm2":415,"nodes":[{"node_id":"B002-T2-1","point":{"station_x_mm":0,"section_x_from_left_mm":240,"section_y_from_top_mm":60},"bend_radius_mm":null,"bend_kind":null},{"node_id":"B002-T2-2","point":{"station_x_mm":6000,"section_x_from_left_mm":240,"section_y_from_top_mm":60},"bend_radius_mm":null,"bend_kind":null}],"closed":false,"bundle_size":1,"anchorage_requirement_ids":null,"splice_ids":[]},{"bar_id":"B002-B1","bar_mark":"B20","role":"bottom_longitudinal","layer":1,"diameter_mm":20,"steel_grade_n_per_mm2":415,"nodes":[{"node_id":"B002-B1-1","point":{"station_x_mm":0,"section_x_from_left_mm":60,"section_y_from_top_mm":440},"bend_radius_mm":null,"bend_kind":null},{"node_id":"B002-B1-2","point":{"station_x_mm":6000,"section_x_from_left_mm":60,"section_y_from_top_mm":440},"bend_radius_mm":null,"bend_kind":null}],"closed":false,"bundle_size":1,"anchorage_requirement_ids":null,"splice_ids":["SP-1"]},{"bar_id":"B002-B2","bar_mark":"B20","role":"bottom_longitudinal","layer":1,"diameter_mm":20,"steel_grade_n_per_mm2":415,"nodes":[{"node_id":"B002-B2-1","point":{"station_x_mm":0,"section_x_from_left_mm":150,"section_y_from_top_mm":440},"bend_radius_mm":null,"bend_kind":null},{"node_id":"B002-B2-2","point":{"station_x_mm":6000,"section_x_from_left_mm":150,"section_y_from_top_mm":440},"bend_radius_mm":null,"bend_kind":null}],"closed":false,"bundle_size":1,"anchorage_requirement_ids":null,"splice_ids":["SP-1"]},{"bar_id":"B002-B3","bar_mark":"B20","role":"bottom_longitudinal","layer":1,"diameter_mm":20,"steel_grade_n_per_mm2":415,"nodes":[{"node_id":"B002-B3-1","point":{"station_x_mm":0,"section_x_from_left_mm":240,"section_y_from_top_mm":440},"bend_radius_mm":null,"bend_kind":null},{"node_id":"B002-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</si>
  <si>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002","detail_revision_id":"B002-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</si>
  <si>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002","detail_revision_id":"B002-detail-r1","concrete_overlap_policy_id":"beam-net-prism-v1","formwork_measurement_policy_id":"contact-face-v1","concrete_segments":[{"segment_id":"CONCRETE-1","member_id":"B002","material_id":"M25","ownership_id":"B002-concrete","cross_section_area_mm2":150000,"physical_length_mm":6000,"owns_monolithic_interface":false,"deductions":null}],"formwork_faces":[{"face_id":"SOFFIT","member_id":"B002","category":"soffit","ownership_id":"B002-soffit","gross_area_mm2":1800000,"measurement_state":"included","exclusion_reason":null,"deductions":null},{"face_id":"SIDE-L","member_id":"B002","category":"side_left","ownership_id":"B002-side-left","gross_area_mm2":3000000,"measurement_state":"included","exclusion_reason":null,"deductions":null},{"face_id":"SIDE-R","member_id":"B002","category":"side_right","ownership_id":"B002-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</si>
  <si>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002","detail_revision_id":"B002-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</si>
  <si>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002","package_revision_id":"B002-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002","shear@S1","torsion@S1","deflection@SPAN-1","crack@S1","anchorage@RIGHT","lap@SPAN-1","seismic@B002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quotation."],"traces":[{"trace_id":"TRACE-01","leaf_id":"flexure@B002","rule_reference":"flexure","formula_reference":"native-operation-result/v1","normalized_substitution":"See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identity."},{"trace_id":"TRACE-08","leaf_id":"seismic@B002","rule_reference":"seismic","formula_reference":"native-operation-result/v1","normalized_substitution":"See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identity."}],"drawings":[{"view_id":"B002-ELEV","kind":"beam_elevation","detail_revision_id":"B002-detail-r1","data":[{"datum_id":"B002-D1","source_identity":"B002","label":"span","value":"6000","unit":"mm"},{"datum_id":"B002-D2","source_identity":"B002-B1","label":"bottom bar mark","value":"B20","unit":null}]}],"limitations":["Ordinary rectangular single-span beam example; independent project review remains required."],"human_actions":null}</t>
  </si>
  <si>
    <t>{"search_id":"B002-search-r1","domain":{"domain_id":"B002-domain","revision_id":"sample-domain-r1","project_basis_id":"beam_project_basis_id:pf4-canonical-json-v1:14b0493855f25ec337790bf76242c1d7f5bf9e1341d6039c6825d2dbbbc386d5","profile_revision_id":"ordinary-beam-profile-r1","member_id":"B002","topology_revision_id":"B002-topology-r1","action_revision_id":"B002-actions-r1","design_scope_revision_id":"B002-scope-r1","baseline_analysis_revision_id":"B002-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</si>
  <si>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B003</t>
  </si>
  <si>
    <t>standalone-beam-sample-r1:B003:r1</t>
  </si>
  <si>
    <t>{"member_id":"B003","topology_revision_id":"B003-topology-r1","action_revision_id":"B003-actions-r1","reinforcement_revision_id":"B003-reinforcement-r1","design_scope_revision_id":"B003-scope-r1","scope_instances":[{"scope_id":"S1","scope":"station","source_revision_id":"B003-scope-r1"},{"scope_id":"SPAN-1","scope":"span","source_revision_id":"B003-scope-r1"},{"scope_id":"RIGHT","scope":"bar_end","source_revision_id":"B003-scope-r1"},{"scope_id":"MID","scope":"arrangement","source_revision_id":"B003-scope-r1"}],"depth_iterations":[{"iteration_number":1,"reinforcement_revision_id":"B003-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</si>
  <si>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003","physical_span_id":"SPAN-1","topology_revision_id":"B003-topology-r1","detail_revision_id":"B003-detail-r1","coordinate_system":{"datum_id":"B003-local","station_axis":"member_station_x","section_horizontal_axis":"section_x_from_left","section_vertical_axis":"section_y_from_top"},"member_start_x_mm":0,"member_end_x_mm":6000,"section_width_mm":300,"section_depth_mm":500,"longitudinal_paths":[{"bar_id":"B003-T1","bar_mark":"T16","role":"top_longitudinal","layer":1,"diameter_mm":16,"steel_grade_n_per_mm2":415,"nodes":[{"node_id":"B003-T1-1","point":{"station_x_mm":0,"section_x_from_left_mm":60,"section_y_from_top_mm":60},"bend_radius_mm":null,"bend_kind":null},{"node_id":"B003-T1-2","point":{"station_x_mm":6000,"section_x_from_left_mm":60,"section_y_from_top_mm":60},"bend_radius_mm":null,"bend_kind":null}],"closed":false,"bundle_size":1,"anchorage_requirement_ids":null,"splice_ids":[]},{"bar_id":"B003-T2","bar_mark":"T16","role":"top_longitudinal","layer":1,"diameter_mm":16,"steel_grade_n_per_mm2":415,"nodes":[{"node_id":"B003-T2-1","point":{"station_x_mm":0,"section_x_from_left_mm":240,"section_y_from_top_mm":60},"bend_radius_mm":null,"bend_kind":null},{"node_id":"B003-T2-2","point":{"station_x_mm":6000,"section_x_from_left_mm":240,"section_y_from_top_mm":60},"bend_radius_mm":null,"bend_kind":null}],"closed":false,"bundle_size":1,"anchorage_requirement_ids":null,"splice_ids":[]},{"bar_id":"B003-B1","bar_mark":"B20","role":"bottom_longitudinal","layer":1,"diameter_mm":20,"steel_grade_n_per_mm2":415,"nodes":[{"node_id":"B003-B1-1","point":{"station_x_mm":0,"section_x_from_left_mm":60,"section_y_from_top_mm":440},"bend_radius_mm":null,"bend_kind":null},{"node_id":"B003-B1-2","point":{"station_x_mm":6000,"section_x_from_left_mm":60,"section_y_from_top_mm":440},"bend_radius_mm":null,"bend_kind":null}],"closed":false,"bundle_size":1,"anchorage_requirement_ids":null,"splice_ids":["SP-1"]},{"bar_id":"B003-B2","bar_mark":"B20","role":"bottom_longitudinal","layer":1,"diameter_mm":20,"steel_grade_n_per_mm2":415,"nodes":[{"node_id":"B003-B2-1","point":{"station_x_mm":0,"section_x_from_left_mm":150,"section_y_from_top_mm":440},"bend_radius_mm":null,"bend_kind":null},{"node_id":"B003-B2-2","point":{"station_x_mm":6000,"section_x_from_left_mm":150,"section_y_from_top_mm":440},"bend_radius_mm":null,"bend_kind":null}],"closed":false,"bundle_size":1,"anchorage_requirement_ids":null,"splice_ids":["SP-1"]},{"bar_id":"B003-B3","bar_mark":"B20","role":"bottom_longitudinal","layer":1,"diameter_mm":20,"steel_grade_n_per_mm2":415,"nodes":[{"node_id":"B003-B3-1","point":{"station_x_mm":0,"section_x_from_left_mm":240,"section_y_from_top_mm":440},"bend_radius_mm":null,"bend_kind":null},{"node_id":"B003-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</si>
  <si>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003","detail_revision_id":"B003-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</si>
  <si>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003","detail_revision_id":"B003-detail-r1","concrete_overlap_policy_id":"beam-net-prism-v1","formwork_measurement_policy_id":"contact-face-v1","concrete_segments":[{"segment_id":"CONCRETE-1","member_id":"B003","material_id":"M25","ownership_id":"B003-concrete","cross_section_area_mm2":150000,"physical_length_mm":6000,"owns_monolithic_interface":false,"deductions":null}],"formwork_faces":[{"face_id":"SOFFIT","member_id":"B003","category":"soffit","ownership_id":"B003-soffit","gross_area_mm2":1800000,"measurement_state":"included","exclusion_reason":null,"deductions":null},{"face_id":"SIDE-L","member_id":"B003","category":"side_left","ownership_id":"B003-side-left","gross_area_mm2":3000000,"measurement_state":"included","exclusion_reason":null,"deductions":null},{"face_id":"SIDE-R","member_id":"B003","category":"side_right","ownership_id":"B003-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</si>
  <si>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003","detail_revision_id":"B003-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</si>
  <si>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003","package_revision_id":"B003-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003","shear@S1","torsion@S1","deflection@SPAN-1","crack@S1","anchorage@RIGHT","lap@SPAN-1","seismic@B003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quotation."],"traces":[{"trace_id":"TRACE-01","leaf_id":"flexure@B003","rule_reference":"flexure","formula_reference":"native-operation-result/v1","normalized_substitution":"See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identity."},{"trace_id":"TRACE-08","leaf_id":"seismic@B003","rule_reference":"seismic","formula_reference":"native-operation-result/v1","normalized_substitution":"See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identity."}],"drawings":[{"view_id":"B003-ELEV","kind":"beam_elevation","detail_revision_id":"B003-detail-r1","data":[{"datum_id":"B003-D1","source_identity":"B003","label":"span","value":"6000","unit":"mm"},{"datum_id":"B003-D2","source_identity":"B003-B1","label":"bottom bar mark","value":"B20","unit":null}]}],"limitations":["Ordinary rectangular single-span beam example; independent project review remains required."],"human_actions":null}</t>
  </si>
  <si>
    <t>{"search_id":"B003-search-r1","domain":{"domain_id":"B003-domain","revision_id":"sample-domain-r1","project_basis_id":"beam_project_basis_id:pf4-canonical-json-v1:14b0493855f25ec337790bf76242c1d7f5bf9e1341d6039c6825d2dbbbc386d5","profile_revision_id":"ordinary-beam-profile-r1","member_id":"B003","topology_revision_id":"B003-topology-r1","action_revision_id":"B003-actions-r1","design_scope_revision_id":"B003-scope-r1","baseline_analysis_revision_id":"B003-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</si>
  <si>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B004</t>
  </si>
  <si>
    <t>standalone-beam-sample-r1:B004:r1</t>
  </si>
  <si>
    <t>{"member_id":"B004","topology_revision_id":"B004-topology-r1","action_revision_id":"B004-actions-r1","reinforcement_revision_id":"B004-reinforcement-r1","design_scope_revision_id":"B004-scope-r1","scope_instances":[{"scope_id":"S1","scope":"station","source_revision_id":"B004-scope-r1"},{"scope_id":"SPAN-1","scope":"span","source_revision_id":"B004-scope-r1"},{"scope_id":"RIGHT","scope":"bar_end","source_revision_id":"B004-scope-r1"},{"scope_id":"MID","scope":"arrangement","source_revision_id":"B004-scope-r1"}],"depth_iterations":[{"iteration_number":1,"reinforcement_revision_id":"B004-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</si>
  <si>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004","physical_span_id":"SPAN-1","topology_revision_id":"B004-topology-r1","detail_revision_id":"B004-detail-r1","coordinate_system":{"datum_id":"B004-local","station_axis":"member_station_x","section_horizontal_axis":"section_x_from_left","section_vertical_axis":"section_y_from_top"},"member_start_x_mm":0,"member_end_x_mm":6000,"section_width_mm":300,"section_depth_mm":500,"longitudinal_paths":[{"bar_id":"B004-T1","bar_mark":"T16","role":"top_longitudinal","layer":1,"diameter_mm":16,"steel_grade_n_per_mm2":415,"nodes":[{"node_id":"B004-T1-1","point":{"station_x_mm":0,"section_x_from_left_mm":60,"section_y_from_top_mm":60},"bend_radius_mm":null,"bend_kind":null},{"node_id":"B004-T1-2","point":{"station_x_mm":6000,"section_x_from_left_mm":60,"section_y_from_top_mm":60},"bend_radius_mm":null,"bend_kind":null}],"closed":false,"bundle_size":1,"anchorage_requirement_ids":null,"splice_ids":[]},{"bar_id":"B004-T2","bar_mark":"T16","role":"top_longitudinal","layer":1,"diameter_mm":16,"steel_grade_n_per_mm2":415,"nodes":[{"node_id":"B004-T2-1","point":{"station_x_mm":0,"section_x_from_left_mm":240,"section_y_from_top_mm":60},"bend_radius_mm":null,"bend_kind":null},{"node_id":"B004-T2-2","point":{"station_x_mm":6000,"section_x_from_left_mm":240,"section_y_from_top_mm":60},"bend_radius_mm":null,"bend_kind":null}],"closed":false,"bundle_size":1,"anchorage_requirement_ids":null,"splice_ids":[]},{"bar_id":"B004-B1","bar_mark":"B20","role":"bottom_longitudinal","layer":1,"diameter_mm":20,"steel_grade_n_per_mm2":415,"nodes":[{"node_id":"B004-B1-1","point":{"station_x_mm":0,"section_x_from_left_mm":60,"section_y_from_top_mm":440},"bend_radius_mm":null,"bend_kind":null},{"node_id":"B004-B1-2","point":{"station_x_mm":6000,"section_x_from_left_mm":60,"section_y_from_top_mm":440},"bend_radius_mm":null,"bend_kind":null}],"closed":false,"bundle_size":1,"anchorage_requirement_ids":null,"splice_ids":["SP-1"]},{"bar_id":"B004-B2","bar_mark":"B20","role":"bottom_longitudinal","layer":1,"diameter_mm":20,"steel_grade_n_per_mm2":415,"nodes":[{"node_id":"B004-B2-1","point":{"station_x_mm":0,"section_x_from_left_mm":150,"section_y_from_top_mm":440},"bend_radius_mm":null,"bend_kind":null},{"node_id":"B004-B2-2","point":{"station_x_mm":6000,"section_x_from_left_mm":150,"section_y_from_top_mm":440},"bend_radius_mm":null,"bend_kind":null}],"closed":false,"bundle_size":1,"anchorage_requirement_ids":null,"splice_ids":["SP-1"]},{"bar_id":"B004-B3","bar_mark":"B20","role":"bottom_longitudinal","layer":1,"diameter_mm":20,"steel_grade_n_per_mm2":415,"nodes":[{"node_id":"B004-B3-1","point":{"station_x_mm":0,"section_x_from_left_mm":240,"section_y_from_top_mm":440},"bend_radius_mm":null,"bend_kind":null},{"node_id":"B004-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</si>
  <si>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004","detail_revision_id":"B004-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</si>
  <si>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004","detail_revision_id":"B004-detail-r1","concrete_overlap_policy_id":"beam-net-prism-v1","formwork_measurement_policy_id":"contact-face-v1","concrete_segments":[{"segment_id":"CONCRETE-1","member_id":"B004","material_id":"M25","ownership_id":"B004-concrete","cross_section_area_mm2":150000,"physical_length_mm":6000,"owns_monolithic_interface":false,"deductions":null}],"formwork_faces":[{"face_id":"SOFFIT","member_id":"B004","category":"soffit","ownership_id":"B004-soffit","gross_area_mm2":1800000,"measurement_state":"included","exclusion_reason":null,"deductions":null},{"face_id":"SIDE-L","member_id":"B004","category":"side_left","ownership_id":"B004-side-left","gross_area_mm2":3000000,"measurement_state":"included","exclusion_reason":null,"deductions":null},{"face_id":"SIDE-R","member_id":"B004","category":"side_right","ownership_id":"B004-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</si>
  <si>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004","detail_revision_id":"B004-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</si>
  <si>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004","package_revision_id":"B004-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004","shear@S1","torsion@S1","deflection@SPAN-1","crack@S1","anchorage@RIGHT","lap@SPAN-1","seismic@B004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quotation."],"traces":[{"trace_id":"TRACE-01","leaf_id":"flexure@B004","rule_reference":"flexure","formula_reference":"native-operation-result/v1","normalized_substitution":"See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identity."},{"trace_id":"TRACE-08","leaf_id":"seismic@B004","rule_reference":"seismic","formula_reference":"native-operation-result/v1","normalized_substitution":"See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identity."}],"drawings":[{"view_id":"B004-ELEV","kind":"beam_elevation","detail_revision_id":"B004-detail-r1","data":[{"datum_id":"B004-D1","source_identity":"B004","label":"span","value":"6000","unit":"mm"},{"datum_id":"B004-D2","source_identity":"B004-B1","label":"bottom bar mark","value":"B20","unit":null}]}],"limitations":["Ordinary rectangular single-span beam example; independent project review remains required."],"human_actions":null}</t>
  </si>
  <si>
    <t>{"search_id":"B004-search-r1","domain":{"domain_id":"B004-domain","revision_id":"sample-domain-r1","project_basis_id":"beam_project_basis_id:pf4-canonical-json-v1:14b0493855f25ec337790bf76242c1d7f5bf9e1341d6039c6825d2dbbbc386d5","profile_revision_id":"ordinary-beam-profile-r1","member_id":"B004","topology_revision_id":"B004-topology-r1","action_revision_id":"B004-actions-r1","design_scope_revision_id":"B004-scope-r1","baseline_analysis_revision_id":"B004-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</si>
  <si>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B005</t>
  </si>
  <si>
    <t>standalone-beam-sample-r1:B005:r1</t>
  </si>
  <si>
    <t>{"member_id":"B005","topology_revision_id":"B005-topology-r1","action_revision_id":"B005-actions-r1","reinforcement_revision_id":"B005-reinforcement-r1","design_scope_revision_id":"B005-scope-r1","scope_instances":[{"scope_id":"S1","scope":"station","source_revision_id":"B005-scope-r1"},{"scope_id":"SPAN-1","scope":"span","source_revision_id":"B005-scope-r1"},{"scope_id":"RIGHT","scope":"bar_end","source_revision_id":"B005-scope-r1"},{"scope_id":"MID","scope":"arrangement","source_revision_id":"B005-scope-r1"}],"depth_iterations":[{"iteration_number":1,"reinforcement_revision_id":"B005-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</si>
  <si>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005","physical_span_id":"SPAN-1","topology_revision_id":"B005-topology-r1","detail_revision_id":"B005-detail-r1","coordinate_system":{"datum_id":"B005-local","station_axis":"member_station_x","section_horizontal_axis":"section_x_from_left","section_vertical_axis":"section_y_from_top"},"member_start_x_mm":0,"member_end_x_mm":6000,"section_width_mm":300,"section_depth_mm":500,"longitudinal_paths":[{"bar_id":"B005-T1","bar_mark":"T16","role":"top_longitudinal","layer":1,"diameter_mm":16,"steel_grade_n_per_mm2":415,"nodes":[{"node_id":"B005-T1-1","point":{"station_x_mm":0,"section_x_from_left_mm":60,"section_y_from_top_mm":60},"bend_radius_mm":null,"bend_kind":null},{"node_id":"B005-T1-2","point":{"station_x_mm":6000,"section_x_from_left_mm":60,"section_y_from_top_mm":60},"bend_radius_mm":null,"bend_kind":null}],"closed":false,"bundle_size":1,"anchorage_requirement_ids":null,"splice_ids":[]},{"bar_id":"B005-T2","bar_mark":"T16","role":"top_longitudinal","layer":1,"diameter_mm":16,"steel_grade_n_per_mm2":415,"nodes":[{"node_id":"B005-T2-1","point":{"station_x_mm":0,"section_x_from_left_mm":240,"section_y_from_top_mm":60},"bend_radius_mm":null,"bend_kind":null},{"node_id":"B005-T2-2","point":{"station_x_mm":6000,"section_x_from_left_mm":240,"section_y_from_top_mm":60},"bend_radius_mm":null,"bend_kind":null}],"closed":false,"bundle_size":1,"anchorage_requirement_ids":null,"splice_ids":[]},{"bar_id":"B005-B1","bar_mark":"B20","role":"bottom_longitudinal","layer":1,"diameter_mm":20,"steel_grade_n_per_mm2":415,"nodes":[{"node_id":"B005-B1-1","point":{"station_x_mm":0,"section_x_from_left_mm":60,"section_y_from_top_mm":440},"bend_radius_mm":null,"bend_kind":null},{"node_id":"B005-B1-2","point":{"station_x_mm":6000,"section_x_from_left_mm":60,"section_y_from_top_mm":440},"bend_radius_mm":null,"bend_kind":null}],"closed":false,"bundle_size":1,"anchorage_requirement_ids":null,"splice_ids":["SP-1"]},{"bar_id":"B005-B2","bar_mark":"B20","role":"bottom_longitudinal","layer":1,"diameter_mm":20,"steel_grade_n_per_mm2":415,"nodes":[{"node_id":"B005-B2-1","point":{"station_x_mm":0,"section_x_from_left_mm":150,"section_y_from_top_mm":440},"bend_radius_mm":null,"bend_kind":null},{"node_id":"B005-B2-2","point":{"station_x_mm":6000,"section_x_from_left_mm":150,"section_y_from_top_mm":440},"bend_radius_mm":null,"bend_kind":null}],"closed":false,"bundle_size":1,"anchorage_requirement_ids":null,"splice_ids":["SP-1"]},{"bar_id":"B005-B3","bar_mark":"B20","role":"bottom_longitudinal","layer":1,"diameter_mm":20,"steel_grade_n_per_mm2":415,"nodes":[{"node_id":"B005-B3-1","point":{"station_x_mm":0,"section_x_from_left_mm":240,"section_y_from_top_mm":440},"bend_radius_mm":null,"bend_kind":null},{"node_id":"B005-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</si>
  <si>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005","detail_revision_id":"B005-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</si>
  <si>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005","detail_revision_id":"B005-detail-r1","concrete_overlap_policy_id":"beam-net-prism-v1","formwork_measurement_policy_id":"contact-face-v1","concrete_segments":[{"segment_id":"CONCRETE-1","member_id":"B005","material_id":"M25","ownership_id":"B005-concrete","cross_section_area_mm2":150000,"physical_length_mm":6000,"owns_monolithic_interface":false,"deductions":null}],"formwork_faces":[{"face_id":"SOFFIT","member_id":"B005","category":"soffit","ownership_id":"B005-soffit","gross_area_mm2":1800000,"measurement_state":"included","exclusion_reason":null,"deductions":null},{"face_id":"SIDE-L","member_id":"B005","category":"side_left","ownership_id":"B005-side-left","gross_area_mm2":3000000,"measurement_state":"included","exclusion_reason":null,"deductions":null},{"face_id":"SIDE-R","member_id":"B005","category":"side_right","ownership_id":"B005-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</si>
  <si>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005","detail_revision_id":"B005-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</si>
  <si>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005","package_revision_id":"B005-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005","shear@S1","torsion@S1","deflection@SPAN-1","crack@S1","anchorage@RIGHT","lap@SPAN-1","seismic@B005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quotation."],"traces":[{"trace_id":"TRACE-01","leaf_id":"flexure@B005","rule_reference":"flexure","formula_reference":"native-operation-result/v1","normalized_substitution":"See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identity."},{"trace_id":"TRACE-08","leaf_id":"seismic@B005","rule_reference":"seismic","formula_reference":"native-operation-result/v1","normalized_substitution":"See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identity."}],"drawings":[{"view_id":"B005-ELEV","kind":"beam_elevation","detail_revision_id":"B005-detail-r1","data":[{"datum_id":"B005-D1","source_identity":"B005","label":"span","value":"6000","unit":"mm"},{"datum_id":"B005-D2","source_identity":"B005-B1","label":"bottom bar mark","value":"B20","unit":null}]}],"limitations":["Ordinary rectangular single-span beam example; independent project review remains required."],"human_actions":null}</t>
  </si>
  <si>
    <t>{"search_id":"B005-search-r1","domain":{"domain_id":"B005-domain","revision_id":"sample-domain-r1","project_basis_id":"beam_project_basis_id:pf4-canonical-json-v1:14b0493855f25ec337790bf76242c1d7f5bf9e1341d6039c6825d2dbbbc386d5","profile_revision_id":"ordinary-beam-profile-r1","member_id":"B005","topology_revision_id":"B005-topology-r1","action_revision_id":"B005-actions-r1","design_scope_revision_id":"B005-scope-r1","baseline_analysis_revision_id":"B005-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</si>
  <si>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B006</t>
  </si>
  <si>
    <t>standalone-beam-sample-r1:B006:r1</t>
  </si>
  <si>
    <t>{"member_id":"B006","topology_revision_id":"B006-topology-r1","action_revision_id":"B006-actions-r1","reinforcement_revision_id":"B006-reinforcement-r1","design_scope_revision_id":"B006-scope-r1","scope_instances":[{"scope_id":"S1","scope":"station","source_revision_id":"B006-scope-r1"},{"scope_id":"SPAN-1","scope":"span","source_revision_id":"B006-scope-r1"},{"scope_id":"RIGHT","scope":"bar_end","source_revision_id":"B006-scope-r1"},{"scope_id":"MID","scope":"arrangement","source_revision_id":"B006-scope-r1"}],"depth_iterations":[{"iteration_number":1,"reinforcement_revision_id":"B006-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</si>
  <si>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006","physical_span_id":"SPAN-1","topology_revision_id":"B006-topology-r1","detail_revision_id":"B006-detail-r1","coordinate_system":{"datum_id":"B006-local","station_axis":"member_station_x","section_horizontal_axis":"section_x_from_left","section_vertical_axis":"section_y_from_top"},"member_start_x_mm":0,"member_end_x_mm":6000,"section_width_mm":300,"section_depth_mm":500,"longitudinal_paths":[{"bar_id":"B006-T1","bar_mark":"T16","role":"top_longitudinal","layer":1,"diameter_mm":16,"steel_grade_n_per_mm2":415,"nodes":[{"node_id":"B006-T1-1","point":{"station_x_mm":0,"section_x_from_left_mm":60,"section_y_from_top_mm":60},"bend_radius_mm":null,"bend_kind":null},{"node_id":"B006-T1-2","point":{"station_x_mm":6000,"section_x_from_left_mm":60,"section_y_from_top_mm":60},"bend_radius_mm":null,"bend_kind":null}],"closed":false,"bundle_size":1,"anchorage_requirement_ids":null,"splice_ids":[]},{"bar_id":"B006-T2","bar_mark":"T16","role":"top_longitudinal","layer":1,"diameter_mm":16,"steel_grade_n_per_mm2":415,"nodes":[{"node_id":"B006-T2-1","point":{"station_x_mm":0,"section_x_from_left_mm":240,"section_y_from_top_mm":60},"bend_radius_mm":null,"bend_kind":null},{"node_id":"B006-T2-2","point":{"station_x_mm":6000,"section_x_from_left_mm":240,"section_y_from_top_mm":60},"bend_radius_mm":null,"bend_kind":null}],"closed":false,"bundle_size":1,"anchorage_requirement_ids":null,"splice_ids":[]},{"bar_id":"B006-B1","bar_mark":"B20","role":"bottom_longitudinal","layer":1,"diameter_mm":20,"steel_grade_n_per_mm2":415,"nodes":[{"node_id":"B006-B1-1","point":{"station_x_mm":0,"section_x_from_left_mm":60,"section_y_from_top_mm":440},"bend_radius_mm":null,"bend_kind":null},{"node_id":"B006-B1-2","point":{"station_x_mm":6000,"section_x_from_left_mm":60,"section_y_from_top_mm":440},"bend_radius_mm":null,"bend_kind":null}],"closed":false,"bundle_size":1,"anchorage_requirement_ids":null,"splice_ids":["SP-1"]},{"bar_id":"B006-B2","bar_mark":"B20","role":"bottom_longitudinal","layer":1,"diameter_mm":20,"steel_grade_n_per_mm2":415,"nodes":[{"node_id":"B006-B2-1","point":{"station_x_mm":0,"section_x_from_left_mm":150,"section_y_from_top_mm":440},"bend_radius_mm":null,"bend_kind":null},{"node_id":"B006-B2-2","point":{"station_x_mm":6000,"section_x_from_left_mm":150,"section_y_from_top_mm":440},"bend_radius_mm":null,"bend_kind":null}],"closed":false,"bundle_size":1,"anchorage_requirement_ids":null,"splice_ids":["SP-1"]},{"bar_id":"B006-B3","bar_mark":"B20","role":"bottom_longitudinal","layer":1,"diameter_mm":20,"steel_grade_n_per_mm2":415,"nodes":[{"node_id":"B006-B3-1","point":{"station_x_mm":0,"section_x_from_left_mm":240,"section_y_from_top_mm":440},"bend_radius_mm":null,"bend_kind":null},{"node_id":"B006-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</si>
  <si>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006","detail_revision_id":"B006-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</si>
  <si>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006","detail_revision_id":"B006-detail-r1","concrete_overlap_policy_id":"beam-net-prism-v1","formwork_measurement_policy_id":"contact-face-v1","concrete_segments":[{"segment_id":"CONCRETE-1","member_id":"B006","material_id":"M25","ownership_id":"B006-concrete","cross_section_area_mm2":150000,"physical_length_mm":6000,"owns_monolithic_interface":false,"deductions":null}],"formwork_faces":[{"face_id":"SOFFIT","member_id":"B006","category":"soffit","ownership_id":"B006-soffit","gross_area_mm2":1800000,"measurement_state":"included","exclusion_reason":null,"deductions":null},{"face_id":"SIDE-L","member_id":"B006","category":"side_left","ownership_id":"B006-side-left","gross_area_mm2":3000000,"measurement_state":"included","exclusion_reason":null,"deductions":null},{"face_id":"SIDE-R","member_id":"B006","category":"side_right","ownership_id":"B006-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</si>
  <si>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006","detail_revision_id":"B006-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</si>
  <si>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006","package_revision_id":"B006-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006","shear@S1","torsion@S1","deflection@SPAN-1","crack@S1","anchorage@RIGHT","lap@SPAN-1","seismic@B006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quotation."],"traces":[{"trace_id":"TRACE-01","leaf_id":"flexure@B006","rule_reference":"flexure","formula_reference":"native-operation-result/v1","normalized_substitution":"See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identity."},{"trace_id":"TRACE-08","leaf_id":"seismic@B006","rule_reference":"seismic","formula_reference":"native-operation-result/v1","normalized_substitution":"See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identity."}],"drawings":[{"view_id":"B006-ELEV","kind":"beam_elevation","detail_revision_id":"B006-detail-r1","data":[{"datum_id":"B006-D1","source_identity":"B006","label":"span","value":"6000","unit":"mm"},{"datum_id":"B006-D2","source_identity":"B006-B1","label":"bottom bar mark","value":"B20","unit":null}]}],"limitations":["Ordinary rectangular single-span beam example; independent project review remains required."],"human_actions":null}</t>
  </si>
  <si>
    <t>{"search_id":"B006-search-r1","domain":{"domain_id":"B006-domain","revision_id":"sample-domain-r1","project_basis_id":"beam_project_basis_id:pf4-canonical-json-v1:14b0493855f25ec337790bf76242c1d7f5bf9e1341d6039c6825d2dbbbc386d5","profile_revision_id":"ordinary-beam-profile-r1","member_id":"B006","topology_revision_id":"B006-topology-r1","action_revision_id":"B006-actions-r1","design_scope_revision_id":"B006-scope-r1","baseline_analysis_revision_id":"B006-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</si>
  <si>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B007</t>
  </si>
  <si>
    <t>standalone-beam-sample-r1:B007:r1</t>
  </si>
  <si>
    <t>{"member_id":"B007","topology_revision_id":"B007-topology-r1","action_revision_id":"B007-actions-r1","reinforcement_revision_id":"B007-reinforcement-r1","design_scope_revision_id":"B007-scope-r1","scope_instances":[{"scope_id":"S1","scope":"station","source_revision_id":"B007-scope-r1"},{"scope_id":"SPAN-1","scope":"span","source_revision_id":"B007-scope-r1"},{"scope_id":"RIGHT","scope":"bar_end","source_revision_id":"B007-scope-r1"},{"scope_id":"MID","scope":"arrangement","source_revision_id":"B007-scope-r1"}],"depth_iterations":[{"iteration_number":1,"reinforcement_revision_id":"B007-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</si>
  <si>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007","physical_span_id":"SPAN-1","topology_revision_id":"B007-topology-r1","detail_revision_id":"B007-detail-r1","coordinate_system":{"datum_id":"B007-local","station_axis":"member_station_x","section_horizontal_axis":"section_x_from_left","section_vertical_axis":"section_y_from_top"},"member_start_x_mm":0,"member_end_x_mm":6000,"section_width_mm":300,"section_depth_mm":500,"longitudinal_paths":[{"bar_id":"B007-T1","bar_mark":"T16","role":"top_longitudinal","layer":1,"diameter_mm":16,"steel_grade_n_per_mm2":415,"nodes":[{"node_id":"B007-T1-1","point":{"station_x_mm":0,"section_x_from_left_mm":60,"section_y_from_top_mm":60},"bend_radius_mm":null,"bend_kind":null},{"node_id":"B007-T1-2","point":{"station_x_mm":6000,"section_x_from_left_mm":60,"section_y_from_top_mm":60},"bend_radius_mm":null,"bend_kind":null}],"closed":false,"bundle_size":1,"anchorage_requirement_ids":null,"splice_ids":[]},{"bar_id":"B007-T2","bar_mark":"T16","role":"top_longitudinal","layer":1,"diameter_mm":16,"steel_grade_n_per_mm2":415,"nodes":[{"node_id":"B007-T2-1","point":{"station_x_mm":0,"section_x_from_left_mm":240,"section_y_from_top_mm":60},"bend_radius_mm":null,"bend_kind":null},{"node_id":"B007-T2-2","point":{"station_x_mm":6000,"section_x_from_left_mm":240,"section_y_from_top_mm":60},"bend_radius_mm":null,"bend_kind":null}],"closed":false,"bundle_size":1,"anchorage_requirement_ids":null,"splice_ids":[]},{"bar_id":"B007-B1","bar_mark":"B20","role":"bottom_longitudinal","layer":1,"diameter_mm":20,"steel_grade_n_per_mm2":415,"nodes":[{"node_id":"B007-B1-1","point":{"station_x_mm":0,"section_x_from_left_mm":60,"section_y_from_top_mm":440},"bend_radius_mm":null,"bend_kind":null},{"node_id":"B007-B1-2","point":{"station_x_mm":6000,"section_x_from_left_mm":60,"section_y_from_top_mm":440},"bend_radius_mm":null,"bend_kind":null}],"closed":false,"bundle_size":1,"anchorage_requirement_ids":null,"splice_ids":["SP-1"]},{"bar_id":"B007-B2","bar_mark":"B20","role":"bottom_longitudinal","layer":1,"diameter_mm":20,"steel_grade_n_per_mm2":415,"nodes":[{"node_id":"B007-B2-1","point":{"station_x_mm":0,"section_x_from_left_mm":150,"section_y_from_top_mm":440},"bend_radius_mm":null,"bend_kind":null},{"node_id":"B007-B2-2","point":{"station_x_mm":6000,"section_x_from_left_mm":150,"section_y_from_top_mm":440},"bend_radius_mm":null,"bend_kind":null}],"closed":false,"bundle_size":1,"anchorage_requirement_ids":null,"splice_ids":["SP-1"]},{"bar_id":"B007-B3","bar_mark":"B20","role":"bottom_longitudinal","layer":1,"diameter_mm":20,"steel_grade_n_per_mm2":415,"nodes":[{"node_id":"B007-B3-1","point":{"station_x_mm":0,"section_x_from_left_mm":240,"section_y_from_top_mm":440},"bend_radius_mm":null,"bend_kind":null},{"node_id":"B007-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</si>
  <si>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007","detail_revision_id":"B007-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</si>
  <si>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007","detail_revision_id":"B007-detail-r1","concrete_overlap_policy_id":"beam-net-prism-v1","formwork_measurement_policy_id":"contact-face-v1","concrete_segments":[{"segment_id":"CONCRETE-1","member_id":"B007","material_id":"M25","ownership_id":"B007-concrete","cross_section_area_mm2":150000,"physical_length_mm":6000,"owns_monolithic_interface":false,"deductions":null}],"formwork_faces":[{"face_id":"SOFFIT","member_id":"B007","category":"soffit","ownership_id":"B007-soffit","gross_area_mm2":1800000,"measurement_state":"included","exclusion_reason":null,"deductions":null},{"face_id":"SIDE-L","member_id":"B007","category":"side_left","ownership_id":"B007-side-left","gross_area_mm2":3000000,"measurement_state":"included","exclusion_reason":null,"deductions":null},{"face_id":"SIDE-R","member_id":"B007","category":"side_right","ownership_id":"B007-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</si>
  <si>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007","detail_revision_id":"B007-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</si>
  <si>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007","package_revision_id":"B007-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007","shear@S1","torsion@S1","deflection@SPAN-1","crack@S1","anchorage@RIGHT","lap@SPAN-1","seismic@B007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quotation."],"traces":[{"trace_id":"TRACE-01","leaf_id":"flexure@B007","rule_reference":"flexure","formula_reference":"native-operation-result/v1","normalized_substitution":"See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identity."},{"trace_id":"TRACE-08","leaf_id":"seismic@B007","rule_reference":"seismic","formula_reference":"native-operation-result/v1","normalized_substitution":"See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identity."}],"drawings":[{"view_id":"B007-ELEV","kind":"beam_elevation","detail_revision_id":"B007-detail-r1","data":[{"datum_id":"B007-D1","source_identity":"B007","label":"span","value":"6000","unit":"mm"},{"datum_id":"B007-D2","source_identity":"B007-B1","label":"bottom bar mark","value":"B20","unit":null}]}],"limitations":["Ordinary rectangular single-span beam example; independent project review remains required."],"human_actions":null}</t>
  </si>
  <si>
    <t>{"search_id":"B007-search-r1","domain":{"domain_id":"B007-domain","revision_id":"sample-domain-r1","project_basis_id":"beam_project_basis_id:pf4-canonical-json-v1:14b0493855f25ec337790bf76242c1d7f5bf9e1341d6039c6825d2dbbbc386d5","profile_revision_id":"ordinary-beam-profile-r1","member_id":"B007","topology_revision_id":"B007-topology-r1","action_revision_id":"B007-actions-r1","design_scope_revision_id":"B007-scope-r1","baseline_analysis_revision_id":"B007-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</si>
  <si>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B008</t>
  </si>
  <si>
    <t>standalone-beam-sample-r1:B008:r1</t>
  </si>
  <si>
    <t>{"member_id":"B008","topology_revision_id":"B008-topology-r1","action_revision_id":"B008-actions-r1","reinforcement_revision_id":"B008-reinforcement-r1","design_scope_revision_id":"B008-scope-r1","scope_instances":[{"scope_id":"S1","scope":"station","source_revision_id":"B008-scope-r1"},{"scope_id":"SPAN-1","scope":"span","source_revision_id":"B008-scope-r1"},{"scope_id":"RIGHT","scope":"bar_end","source_revision_id":"B008-scope-r1"},{"scope_id":"MID","scope":"arrangement","source_revision_id":"B008-scope-r1"}],"depth_iterations":[{"iteration_number":1,"reinforcement_revision_id":"B008-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</si>
  <si>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008","physical_span_id":"SPAN-1","topology_revision_id":"B008-topology-r1","detail_revision_id":"B008-detail-r1","coordinate_system":{"datum_id":"B008-local","station_axis":"member_station_x","section_horizontal_axis":"section_x_from_left","section_vertical_axis":"section_y_from_top"},"member_start_x_mm":0,"member_end_x_mm":6000,"section_width_mm":300,"section_depth_mm":500,"longitudinal_paths":[{"bar_id":"B008-T1","bar_mark":"T16","role":"top_longitudinal","layer":1,"diameter_mm":16,"steel_grade_n_per_mm2":415,"nodes":[{"node_id":"B008-T1-1","point":{"station_x_mm":0,"section_x_from_left_mm":60,"section_y_from_top_mm":60},"bend_radius_mm":null,"bend_kind":null},{"node_id":"B008-T1-2","point":{"station_x_mm":6000,"section_x_from_left_mm":60,"section_y_from_top_mm":60},"bend_radius_mm":null,"bend_kind":null}],"closed":false,"bundle_size":1,"anchorage_requirement_ids":null,"splice_ids":[]},{"bar_id":"B008-T2","bar_mark":"T16","role":"top_longitudinal","layer":1,"diameter_mm":16,"steel_grade_n_per_mm2":415,"nodes":[{"node_id":"B008-T2-1","point":{"station_x_mm":0,"section_x_from_left_mm":240,"section_y_from_top_mm":60},"bend_radius_mm":null,"bend_kind":null},{"node_id":"B008-T2-2","point":{"station_x_mm":6000,"section_x_from_left_mm":240,"section_y_from_top_mm":60},"bend_radius_mm":null,"bend_kind":null}],"closed":false,"bundle_size":1,"anchorage_requirement_ids":null,"splice_ids":[]},{"bar_id":"B008-B1","bar_mark":"B20","role":"bottom_longitudinal","layer":1,"diameter_mm":20,"steel_grade_n_per_mm2":415,"nodes":[{"node_id":"B008-B1-1","point":{"station_x_mm":0,"section_x_from_left_mm":60,"section_y_from_top_mm":440},"bend_radius_mm":null,"bend_kind":null},{"node_id":"B008-B1-2","point":{"station_x_mm":6000,"section_x_from_left_mm":60,"section_y_from_top_mm":440},"bend_radius_mm":null,"bend_kind":null}],"closed":false,"bundle_size":1,"anchorage_requirement_ids":null,"splice_ids":["SP-1"]},{"bar_id":"B008-B2","bar_mark":"B20","role":"bottom_longitudinal","layer":1,"diameter_mm":20,"steel_grade_n_per_mm2":415,"nodes":[{"node_id":"B008-B2-1","point":{"station_x_mm":0,"section_x_from_left_mm":150,"section_y_from_top_mm":440},"bend_radius_mm":null,"bend_kind":null},{"node_id":"B008-B2-2","point":{"station_x_mm":6000,"section_x_from_left_mm":150,"section_y_from_top_mm":440},"bend_radius_mm":null,"bend_kind":null}],"closed":false,"bundle_size":1,"anchorage_requirement_ids":null,"splice_ids":["SP-1"]},{"bar_id":"B008-B3","bar_mark":"B20","role":"bottom_longitudinal","layer":1,"diameter_mm":20,"steel_grade_n_per_mm2":415,"nodes":[{"node_id":"B008-B3-1","point":{"station_x_mm":0,"section_x_from_left_mm":240,"section_y_from_top_mm":440},"bend_radius_mm":null,"bend_kind":null},{"node_id":"B008-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</si>
  <si>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008","detail_revision_id":"B008-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</si>
  <si>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008","detail_revision_id":"B008-detail-r1","concrete_overlap_policy_id":"beam-net-prism-v1","formwork_measurement_policy_id":"contact-face-v1","concrete_segments":[{"segment_id":"CONCRETE-1","member_id":"B008","material_id":"M25","ownership_id":"B008-concrete","cross_section_area_mm2":150000,"physical_length_mm":6000,"owns_monolithic_interface":false,"deductions":null}],"formwork_faces":[{"face_id":"SOFFIT","member_id":"B008","category":"soffit","ownership_id":"B008-soffit","gross_area_mm2":1800000,"measurement_state":"included","exclusion_reason":null,"deductions":null},{"face_id":"SIDE-L","member_id":"B008","category":"side_left","ownership_id":"B008-side-left","gross_area_mm2":3000000,"measurement_state":"included","exclusion_reason":null,"deductions":null},{"face_id":"SIDE-R","member_id":"B008","category":"side_right","ownership_id":"B008-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</si>
  <si>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008","detail_revision_id":"B008-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</si>
  <si>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008","package_revision_id":"B008-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008","shear@S1","torsion@S1","deflection@SPAN-1","crack@S1","anchorage@RIGHT","lap@SPAN-1","seismic@B008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quotation."],"traces":[{"trace_id":"TRACE-01","leaf_id":"flexure@B008","rule_reference":"flexure","formula_reference":"native-operation-result/v1","normalized_substitution":"See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identity."},{"trace_id":"TRACE-08","leaf_id":"seismic@B008","rule_reference":"seismic","formula_reference":"native-operation-result/v1","normalized_substitution":"See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identity."}],"drawings":[{"view_id":"B008-ELEV","kind":"beam_elevation","detail_revision_id":"B008-detail-r1","data":[{"datum_id":"B008-D1","source_identity":"B008","label":"span","value":"6000","unit":"mm"},{"datum_id":"B008-D2","source_identity":"B008-B1","label":"bottom bar mark","value":"B20","unit":null}]}],"limitations":["Ordinary rectangular single-span beam example; independent project review remains required."],"human_actions":null}</t>
  </si>
  <si>
    <t>{"search_id":"B008-search-r1","domain":{"domain_id":"B008-domain","revision_id":"sample-domain-r1","project_basis_id":"beam_project_basis_id:pf4-canonical-json-v1:14b0493855f25ec337790bf76242c1d7f5bf9e1341d6039c6825d2dbbbc386d5","profile_revision_id":"ordinary-beam-profile-r1","member_id":"B008","topology_revision_id":"B008-topology-r1","action_revision_id":"B008-actions-r1","design_scope_revision_id":"B008-scope-r1","baseline_analysis_revision_id":"B008-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</si>
  <si>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B009</t>
  </si>
  <si>
    <t>standalone-beam-sample-r1:B009:r1</t>
  </si>
  <si>
    <t>{"member_id":"B009","topology_revision_id":"B009-topology-r1","action_revision_id":"B009-actions-r1","reinforcement_revision_id":"B009-reinforcement-r1","design_scope_revision_id":"B009-scope-r1","scope_instances":[{"scope_id":"S1","scope":"station","source_revision_id":"B009-scope-r1"},{"scope_id":"SPAN-1","scope":"span","source_revision_id":"B009-scope-r1"},{"scope_id":"RIGHT","scope":"bar_end","source_revision_id":"B009-scope-r1"},{"scope_id":"MID","scope":"arrangement","source_revision_id":"B009-scope-r1"}],"depth_iterations":[{"iteration_number":1,"reinforcement_revision_id":"B009-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</si>
  <si>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009","physical_span_id":"SPAN-1","topology_revision_id":"B009-topology-r1","detail_revision_id":"B009-detail-r1","coordinate_system":{"datum_id":"B009-local","station_axis":"member_station_x","section_horizontal_axis":"section_x_from_left","section_vertical_axis":"section_y_from_top"},"member_start_x_mm":0,"member_end_x_mm":6000,"section_width_mm":300,"section_depth_mm":500,"longitudinal_paths":[{"bar_id":"B009-T1","bar_mark":"T16","role":"top_longitudinal","layer":1,"diameter_mm":16,"steel_grade_n_per_mm2":415,"nodes":[{"node_id":"B009-T1-1","point":{"station_x_mm":0,"section_x_from_left_mm":60,"section_y_from_top_mm":60},"bend_radius_mm":null,"bend_kind":null},{"node_id":"B009-T1-2","point":{"station_x_mm":6000,"section_x_from_left_mm":60,"section_y_from_top_mm":60},"bend_radius_mm":null,"bend_kind":null}],"closed":false,"bundle_size":1,"anchorage_requirement_ids":null,"splice_ids":[]},{"bar_id":"B009-T2","bar_mark":"T16","role":"top_longitudinal","layer":1,"diameter_mm":16,"steel_grade_n_per_mm2":415,"nodes":[{"node_id":"B009-T2-1","point":{"station_x_mm":0,"section_x_from_left_mm":240,"section_y_from_top_mm":60},"bend_radius_mm":null,"bend_kind":null},{"node_id":"B009-T2-2","point":{"station_x_mm":6000,"section_x_from_left_mm":240,"section_y_from_top_mm":60},"bend_radius_mm":null,"bend_kind":null}],"closed":false,"bundle_size":1,"anchorage_requirement_ids":null,"splice_ids":[]},{"bar_id":"B009-B1","bar_mark":"B20","role":"bottom_longitudinal","layer":1,"diameter_mm":20,"steel_grade_n_per_mm2":415,"nodes":[{"node_id":"B009-B1-1","point":{"station_x_mm":0,"section_x_from_left_mm":60,"section_y_from_top_mm":440},"bend_radius_mm":null,"bend_kind":null},{"node_id":"B009-B1-2","point":{"station_x_mm":6000,"section_x_from_left_mm":60,"section_y_from_top_mm":440},"bend_radius_mm":null,"bend_kind":null}],"closed":false,"bundle_size":1,"anchorage_requirement_ids":null,"splice_ids":["SP-1"]},{"bar_id":"B009-B2","bar_mark":"B20","role":"bottom_longitudinal","layer":1,"diameter_mm":20,"steel_grade_n_per_mm2":415,"nodes":[{"node_id":"B009-B2-1","point":{"station_x_mm":0,"section_x_from_left_mm":150,"section_y_from_top_mm":440},"bend_radius_mm":null,"bend_kind":null},{"node_id":"B009-B2-2","point":{"station_x_mm":6000,"section_x_from_left_mm":150,"section_y_from_top_mm":440},"bend_radius_mm":null,"bend_kind":null}],"closed":false,"bundle_size":1,"anchorage_requirement_ids":null,"splice_ids":["SP-1"]},{"bar_id":"B009-B3","bar_mark":"B20","role":"bottom_longitudinal","layer":1,"diameter_mm":20,"steel_grade_n_per_mm2":415,"nodes":[{"node_id":"B009-B3-1","point":{"station_x_mm":0,"section_x_from_left_mm":240,"section_y_from_top_mm":440},"bend_radius_mm":null,"bend_kind":null},{"node_id":"B009-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</si>
  <si>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009","detail_revision_id":"B009-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</si>
  <si>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009","detail_revision_id":"B009-detail-r1","concrete_overlap_policy_id":"beam-net-prism-v1","formwork_measurement_policy_id":"contact-face-v1","concrete_segments":[{"segment_id":"CONCRETE-1","member_id":"B009","material_id":"M25","ownership_id":"B009-concrete","cross_section_area_mm2":150000,"physical_length_mm":6000,"owns_monolithic_interface":false,"deductions":null}],"formwork_faces":[{"face_id":"SOFFIT","member_id":"B009","category":"soffit","ownership_id":"B009-soffit","gross_area_mm2":1800000,"measurement_state":"included","exclusion_reason":null,"deductions":null},{"face_id":"SIDE-L","member_id":"B009","category":"side_left","ownership_id":"B009-side-left","gross_area_mm2":3000000,"measurement_state":"included","exclusion_reason":null,"deductions":null},{"face_id":"SIDE-R","member_id":"B009","category":"side_right","ownership_id":"B009-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</si>
  <si>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009","detail_revision_id":"B009-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</si>
  <si>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009","package_revision_id":"B009-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009","shear@S1","torsion@S1","deflection@SPAN-1","crack@S1","anchorage@RIGHT","lap@SPAN-1","seismic@B009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quotation."],"traces":[{"trace_id":"TRACE-01","leaf_id":"flexure@B009","rule_reference":"flexure","formula_reference":"native-operation-result/v1","normalized_substitution":"See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identity."},{"trace_id":"TRACE-08","leaf_id":"seismic@B009","rule_reference":"seismic","formula_reference":"native-operation-result/v1","normalized_substitution":"See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identity."}],"drawings":[{"view_id":"B009-ELEV","kind":"beam_elevation","detail_revision_id":"B009-detail-r1","data":[{"datum_id":"B009-D1","source_identity":"B009","label":"span","value":"6000","unit":"mm"},{"datum_id":"B009-D2","source_identity":"B009-B1","label":"bottom bar mark","value":"B20","unit":null}]}],"limitations":["Ordinary rectangular single-span beam example; independent project review remains required."],"human_actions":null}</t>
  </si>
  <si>
    <t>{"search_id":"B009-search-r1","domain":{"domain_id":"B009-domain","revision_id":"sample-domain-r1","project_basis_id":"beam_project_basis_id:pf4-canonical-json-v1:14b0493855f25ec337790bf76242c1d7f5bf9e1341d6039c6825d2dbbbc386d5","profile_revision_id":"ordinary-beam-profile-r1","member_id":"B009","topology_revision_id":"B009-topology-r1","action_revision_id":"B009-actions-r1","design_scope_revision_id":"B009-scope-r1","baseline_analysis_revision_id":"B009-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</si>
  <si>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B010</t>
  </si>
  <si>
    <t>standalone-beam-sample-r1:B010:r1</t>
  </si>
  <si>
    <t>{"member_id":"B010","topology_revision_id":"B010-topology-r1","action_revision_id":"B010-actions-r1","reinforcement_revision_id":"B010-reinforcement-r1","design_scope_revision_id":"B010-scope-r1","scope_instances":[{"scope_id":"S1","scope":"station","source_revision_id":"B010-scope-r1"},{"scope_id":"SPAN-1","scope":"span","source_revision_id":"B010-scope-r1"},{"scope_id":"RIGHT","scope":"bar_end","source_revision_id":"B010-scope-r1"},{"scope_id":"MID","scope":"arrangement","source_revision_id":"B010-scope-r1"}],"depth_iterations":[{"iteration_number":1,"reinforcement_revision_id":"B010-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</si>
  <si>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010","physical_span_id":"SPAN-1","topology_revision_id":"B010-topology-r1","detail_revision_id":"B010-detail-r1","coordinate_system":{"datum_id":"B010-local","station_axis":"member_station_x","section_horizontal_axis":"section_x_from_left","section_vertical_axis":"section_y_from_top"},"member_start_x_mm":0,"member_end_x_mm":6000,"section_width_mm":300,"section_depth_mm":500,"longitudinal_paths":[{"bar_id":"B010-T1","bar_mark":"T16","role":"top_longitudinal","layer":1,"diameter_mm":16,"steel_grade_n_per_mm2":415,"nodes":[{"node_id":"B010-T1-1","point":{"station_x_mm":0,"section_x_from_left_mm":60,"section_y_from_top_mm":60},"bend_radius_mm":null,"bend_kind":null},{"node_id":"B010-T1-2","point":{"station_x_mm":6000,"section_x_from_left_mm":60,"section_y_from_top_mm":60},"bend_radius_mm":null,"bend_kind":null}],"closed":false,"bundle_size":1,"anchorage_requirement_ids":null,"splice_ids":[]},{"bar_id":"B010-T2","bar_mark":"T16","role":"top_longitudinal","layer":1,"diameter_mm":16,"steel_grade_n_per_mm2":415,"nodes":[{"node_id":"B010-T2-1","point":{"station_x_mm":0,"section_x_from_left_mm":240,"section_y_from_top_mm":60},"bend_radius_mm":null,"bend_kind":null},{"node_id":"B010-T2-2","point":{"station_x_mm":6000,"section_x_from_left_mm":240,"section_y_from_top_mm":60},"bend_radius_mm":null,"bend_kind":null}],"closed":false,"bundle_size":1,"anchorage_requirement_ids":null,"splice_ids":[]},{"bar_id":"B010-B1","bar_mark":"B20","role":"bottom_longitudinal","layer":1,"diameter_mm":20,"steel_grade_n_per_mm2":415,"nodes":[{"node_id":"B010-B1-1","point":{"station_x_mm":0,"section_x_from_left_mm":60,"section_y_from_top_mm":440},"bend_radius_mm":null,"bend_kind":null},{"node_id":"B010-B1-2","point":{"station_x_mm":6000,"section_x_from_left_mm":60,"section_y_from_top_mm":440},"bend_radius_mm":null,"bend_kind":null}],"closed":false,"bundle_size":1,"anchorage_requirement_ids":null,"splice_ids":["SP-1"]},{"bar_id":"B010-B2","bar_mark":"B20","role":"bottom_longitudinal","layer":1,"diameter_mm":20,"steel_grade_n_per_mm2":415,"nodes":[{"node_id":"B010-B2-1","point":{"station_x_mm":0,"section_x_from_left_mm":150,"section_y_from_top_mm":440},"bend_radius_mm":null,"bend_kind":null},{"node_id":"B010-B2-2","point":{"station_x_mm":6000,"section_x_from_left_mm":150,"section_y_from_top_mm":440},"bend_radius_mm":null,"bend_kind":null}],"closed":false,"bundle_size":1,"anchorage_requirement_ids":null,"splice_ids":["SP-1"]},{"bar_id":"B010-B3","bar_mark":"B20","role":"bottom_longitudinal","layer":1,"diameter_mm":20,"steel_grade_n_per_mm2":415,"nodes":[{"node_id":"B010-B3-1","point":{"station_x_mm":0,"section_x_from_left_mm":240,"section_y_from_top_mm":440},"bend_radius_mm":null,"bend_kind":null},{"node_id":"B010-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</si>
  <si>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010","detail_revision_id":"B010-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</si>
  <si>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010","detail_revision_id":"B010-detail-r1","concrete_overlap_policy_id":"beam-net-prism-v1","formwork_measurement_policy_id":"contact-face-v1","concrete_segments":[{"segment_id":"CONCRETE-1","member_id":"B010","material_id":"M25","ownership_id":"B010-concrete","cross_section_area_mm2":150000,"physical_length_mm":6000,"owns_monolithic_interface":false,"deductions":null}],"formwork_faces":[{"face_id":"SOFFIT","member_id":"B010","category":"soffit","ownership_id":"B010-soffit","gross_area_mm2":1800000,"measurement_state":"included","exclusion_reason":null,"deductions":null},{"face_id":"SIDE-L","member_id":"B010","category":"side_left","ownership_id":"B010-side-left","gross_area_mm2":3000000,"measurement_state":"included","exclusion_reason":null,"deductions":null},{"face_id":"SIDE-R","member_id":"B010","category":"side_right","ownership_id":"B010-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</si>
  <si>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010","detail_revision_id":"B010-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</si>
  <si>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010","package_revision_id":"B010-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010","shear@S1","torsion@S1","deflection@SPAN-1","crack@S1","anchorage@RIGHT","lap@SPAN-1","seismic@B010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quotation."],"traces":[{"trace_id":"TRACE-01","leaf_id":"flexure@B010","rule_reference":"flexure","formula_reference":"native-operation-result/v1","normalized_substitution":"See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identity."},{"trace_id":"TRACE-08","leaf_id":"seismic@B010","rule_reference":"seismic","formula_reference":"native-operation-result/v1","normalized_substitution":"See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identity."}],"drawings":[{"view_id":"B010-ELEV","kind":"beam_elevation","detail_revision_id":"B010-detail-r1","data":[{"datum_id":"B010-D1","source_identity":"B010","label":"span","value":"6000","unit":"mm"},{"datum_id":"B010-D2","source_identity":"B010-B1","label":"bottom bar mark","value":"B20","unit":null}]}],"limitations":["Ordinary rectangular single-span beam example; independent project review remains required."],"human_actions":null}</t>
  </si>
  <si>
    <t>{"search_id":"B010-search-r1","domain":{"domain_id":"B010-domain","revision_id":"sample-domain-r1","project_basis_id":"beam_project_basis_id:pf4-canonical-json-v1:14b0493855f25ec337790bf76242c1d7f5bf9e1341d6039c6825d2dbbbc386d5","profile_revision_id":"ordinary-beam-profile-r1","member_id":"B010","topology_revision_id":"B010-topology-r1","action_revision_id":"B010-actions-r1","design_scope_revision_id":"B010-scope-r1","baseline_analysis_revision_id":"B010-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</si>
  <si>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B011</t>
  </si>
  <si>
    <t>standalone-beam-sample-r1:B011:r1</t>
  </si>
  <si>
    <t>{"member_id":"B011","topology_revision_id":"B011-topology-r1","action_revision_id":"B011-actions-r1","reinforcement_revision_id":"B011-reinforcement-r1","design_scope_revision_id":"B011-scope-r1","scope_instances":[{"scope_id":"S1","scope":"station","source_revision_id":"B011-scope-r1"},{"scope_id":"SPAN-1","scope":"span","source_revision_id":"B011-scope-r1"},{"scope_id":"RIGHT","scope":"bar_end","source_revision_id":"B011-scope-r1"},{"scope_id":"MID","scope":"arrangement","source_revision_id":"B011-scope-r1"}],"depth_iterations":[{"iteration_number":1,"reinforcement_revision_id":"B011-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</si>
  <si>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011","physical_span_id":"SPAN-1","topology_revision_id":"B011-topology-r1","detail_revision_id":"B011-detail-r1","coordinate_system":{"datum_id":"B011-local","station_axis":"member_station_x","section_horizontal_axis":"section_x_from_left","section_vertical_axis":"section_y_from_top"},"member_start_x_mm":0,"member_end_x_mm":6000,"section_width_mm":300,"section_depth_mm":500,"longitudinal_paths":[{"bar_id":"B011-T1","bar_mark":"T16","role":"top_longitudinal","layer":1,"diameter_mm":16,"steel_grade_n_per_mm2":415,"nodes":[{"node_id":"B011-T1-1","point":{"station_x_mm":0,"section_x_from_left_mm":60,"section_y_from_top_mm":60},"bend_radius_mm":null,"bend_kind":null},{"node_id":"B011-T1-2","point":{"station_x_mm":6000,"section_x_from_left_mm":60,"section_y_from_top_mm":60},"bend_radius_mm":null,"bend_kind":null}],"closed":false,"bundle_size":1,"anchorage_requirement_ids":null,"splice_ids":[]},{"bar_id":"B011-T2","bar_mark":"T16","role":"top_longitudinal","layer":1,"diameter_mm":16,"steel_grade_n_per_mm2":415,"nodes":[{"node_id":"B011-T2-1","point":{"station_x_mm":0,"section_x_from_left_mm":240,"section_y_from_top_mm":60},"bend_radius_mm":null,"bend_kind":null},{"node_id":"B011-T2-2","point":{"station_x_mm":6000,"section_x_from_left_mm":240,"section_y_from_top_mm":60},"bend_radius_mm":null,"bend_kind":null}],"closed":false,"bundle_size":1,"anchorage_requirement_ids":null,"splice_ids":[]},{"bar_id":"B011-B1","bar_mark":"B20","role":"bottom_longitudinal","layer":1,"diameter_mm":20,"steel_grade_n_per_mm2":415,"nodes":[{"node_id":"B011-B1-1","point":{"station_x_mm":0,"section_x_from_left_mm":60,"section_y_from_top_mm":440},"bend_radius_mm":null,"bend_kind":null},{"node_id":"B011-B1-2","point":{"station_x_mm":6000,"section_x_from_left_mm":60,"section_y_from_top_mm":440},"bend_radius_mm":null,"bend_kind":null}],"closed":false,"bundle_size":1,"anchorage_requirement_ids":null,"splice_ids":["SP-1"]},{"bar_id":"B011-B2","bar_mark":"B20","role":"bottom_longitudinal","layer":1,"diameter_mm":20,"steel_grade_n_per_mm2":415,"nodes":[{"node_id":"B011-B2-1","point":{"station_x_mm":0,"section_x_from_left_mm":150,"section_y_from_top_mm":440},"bend_radius_mm":null,"bend_kind":null},{"node_id":"B011-B2-2","point":{"station_x_mm":6000,"section_x_from_left_mm":150,"section_y_from_top_mm":440},"bend_radius_mm":null,"bend_kind":null}],"closed":false,"bundle_size":1,"anchorage_requirement_ids":null,"splice_ids":["SP-1"]},{"bar_id":"B011-B3","bar_mark":"B20","role":"bottom_longitudinal","layer":1,"diameter_mm":20,"steel_grade_n_per_mm2":415,"nodes":[{"node_id":"B011-B3-1","point":{"station_x_mm":0,"section_x_from_left_mm":240,"section_y_from_top_mm":440},"bend_radius_mm":null,"bend_kind":null},{"node_id":"B011-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</si>
  <si>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011","detail_revision_id":"B011-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</si>
  <si>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011","detail_revision_id":"B011-detail-r1","concrete_overlap_policy_id":"beam-net-prism-v1","formwork_measurement_policy_id":"contact-face-v1","concrete_segments":[{"segment_id":"CONCRETE-1","member_id":"B011","material_id":"M25","ownership_id":"B011-concrete","cross_section_area_mm2":150000,"physical_length_mm":6000,"owns_monolithic_interface":false,"deductions":null}],"formwork_faces":[{"face_id":"SOFFIT","member_id":"B011","category":"soffit","ownership_id":"B011-soffit","gross_area_mm2":1800000,"measurement_state":"included","exclusion_reason":null,"deductions":null},{"face_id":"SIDE-L","member_id":"B011","category":"side_left","ownership_id":"B011-side-left","gross_area_mm2":3000000,"measurement_state":"included","exclusion_reason":null,"deductions":null},{"face_id":"SIDE-R","member_id":"B011","category":"side_right","ownership_id":"B011-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</si>
  <si>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011","detail_revision_id":"B011-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</si>
  <si>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011","package_revision_id":"B011-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011","shear@S1","torsion@S1","deflection@SPAN-1","crack@S1","anchorage@RIGHT","lap@SPAN-1","seismic@B011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quotation."],"traces":[{"trace_id":"TRACE-01","leaf_id":"flexure@B011","rule_reference":"flexure","formula_reference":"native-operation-result/v1","normalized_substitution":"See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identity."},{"trace_id":"TRACE-08","leaf_id":"seismic@B011","rule_reference":"seismic","formula_reference":"native-operation-result/v1","normalized_substitution":"See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identity."}],"drawings":[{"view_id":"B011-ELEV","kind":"beam_elevation","detail_revision_id":"B011-detail-r1","data":[{"datum_id":"B011-D1","source_identity":"B011","label":"span","value":"6000","unit":"mm"},{"datum_id":"B011-D2","source_identity":"B011-B1","label":"bottom bar mark","value":"B20","unit":null}]}],"limitations":["Ordinary rectangular single-span beam example; independent project review remains required."],"human_actions":null}</t>
  </si>
  <si>
    <t>{"search_id":"B011-search-r1","domain":{"domain_id":"B011-domain","revision_id":"sample-domain-r1","project_basis_id":"beam_project_basis_id:pf4-canonical-json-v1:14b0493855f25ec337790bf76242c1d7f5bf9e1341d6039c6825d2dbbbc386d5","profile_revision_id":"ordinary-beam-profile-r1","member_id":"B011","topology_revision_id":"B011-topology-r1","action_revision_id":"B011-actions-r1","design_scope_revision_id":"B011-scope-r1","baseline_analysis_revision_id":"B011-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</si>
  <si>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B012</t>
  </si>
  <si>
    <t>standalone-beam-sample-r1:B012:r1</t>
  </si>
  <si>
    <t>{"member_id":"B012","topology_revision_id":"B012-topology-r1","action_revision_id":"B012-actions-r1","reinforcement_revision_id":"B012-reinforcement-r1","design_scope_revision_id":"B012-scope-r1","scope_instances":[{"scope_id":"S1","scope":"station","source_revision_id":"B012-scope-r1"},{"scope_id":"SPAN-1","scope":"span","source_revision_id":"B012-scope-r1"},{"scope_id":"RIGHT","scope":"bar_end","source_revision_id":"B012-scope-r1"},{"scope_id":"MID","scope":"arrangement","source_revision_id":"B012-scope-r1"}],"depth_iterations":[{"iteration_number":1,"reinforcement_revision_id":"B012-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</si>
  <si>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012","physical_span_id":"SPAN-1","topology_revision_id":"B012-topology-r1","detail_revision_id":"B012-detail-r1","coordinate_system":{"datum_id":"B012-local","station_axis":"member_station_x","section_horizontal_axis":"section_x_from_left","section_vertical_axis":"section_y_from_top"},"member_start_x_mm":0,"member_end_x_mm":6000,"section_width_mm":300,"section_depth_mm":500,"longitudinal_paths":[{"bar_id":"B012-T1","bar_mark":"T16","role":"top_longitudinal","layer":1,"diameter_mm":16,"steel_grade_n_per_mm2":415,"nodes":[{"node_id":"B012-T1-1","point":{"station_x_mm":0,"section_x_from_left_mm":60,"section_y_from_top_mm":60},"bend_radius_mm":null,"bend_kind":null},{"node_id":"B012-T1-2","point":{"station_x_mm":6000,"section_x_from_left_mm":60,"section_y_from_top_mm":60},"bend_radius_mm":null,"bend_kind":null}],"closed":false,"bundle_size":1,"anchorage_requirement_ids":null,"splice_ids":[]},{"bar_id":"B012-T2","bar_mark":"T16","role":"top_longitudinal","layer":1,"diameter_mm":16,"steel_grade_n_per_mm2":415,"nodes":[{"node_id":"B012-T2-1","point":{"station_x_mm":0,"section_x_from_left_mm":240,"section_y_from_top_mm":60},"bend_radius_mm":null,"bend_kind":null},{"node_id":"B012-T2-2","point":{"station_x_mm":6000,"section_x_from_left_mm":240,"section_y_from_top_mm":60},"bend_radius_mm":null,"bend_kind":null}],"closed":false,"bundle_size":1,"anchorage_requirement_ids":null,"splice_ids":[]},{"bar_id":"B012-B1","bar_mark":"B20","role":"bottom_longitudinal","layer":1,"diameter_mm":20,"steel_grade_n_per_mm2":415,"nodes":[{"node_id":"B012-B1-1","point":{"station_x_mm":0,"section_x_from_left_mm":60,"section_y_from_top_mm":440},"bend_radius_mm":null,"bend_kind":null},{"node_id":"B012-B1-2","point":{"station_x_mm":6000,"section_x_from_left_mm":60,"section_y_from_top_mm":440},"bend_radius_mm":null,"bend_kind":null}],"closed":false,"bundle_size":1,"anchorage_requirement_ids":null,"splice_ids":["SP-1"]},{"bar_id":"B012-B2","bar_mark":"B20","role":"bottom_longitudinal","layer":1,"diameter_mm":20,"steel_grade_n_per_mm2":415,"nodes":[{"node_id":"B012-B2-1","point":{"station_x_mm":0,"section_x_from_left_mm":150,"section_y_from_top_mm":440},"bend_radius_mm":null,"bend_kind":null},{"node_id":"B012-B2-2","point":{"station_x_mm":6000,"section_x_from_left_mm":150,"section_y_from_top_mm":440},"bend_radius_mm":null,"bend_kind":null}],"closed":false,"bundle_size":1,"anchorage_requirement_ids":null,"splice_ids":["SP-1"]},{"bar_id":"B012-B3","bar_mark":"B20","role":"bottom_longitudinal","layer":1,"diameter_mm":20,"steel_grade_n_per_mm2":415,"nodes":[{"node_id":"B012-B3-1","point":{"station_x_mm":0,"section_x_from_left_mm":240,"section_y_from_top_mm":440},"bend_radius_mm":null,"bend_kind":null},{"node_id":"B012-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</si>
  <si>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012","detail_revision_id":"B012-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</si>
  <si>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012","detail_revision_id":"B012-detail-r1","concrete_overlap_policy_id":"beam-net-prism-v1","formwork_measurement_policy_id":"contact-face-v1","concrete_segments":[{"segment_id":"CONCRETE-1","member_id":"B012","material_id":"M25","ownership_id":"B012-concrete","cross_section_area_mm2":150000,"physical_length_mm":6000,"owns_monolithic_interface":false,"deductions":null}],"formwork_faces":[{"face_id":"SOFFIT","member_id":"B012","category":"soffit","ownership_id":"B012-soffit","gross_area_mm2":1800000,"measurement_state":"included","exclusion_reason":null,"deductions":null},{"face_id":"SIDE-L","member_id":"B012","category":"side_left","ownership_id":"B012-side-left","gross_area_mm2":3000000,"measurement_state":"included","exclusion_reason":null,"deductions":null},{"face_id":"SIDE-R","member_id":"B012","category":"side_right","ownership_id":"B012-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</si>
  <si>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012","detail_revision_id":"B012-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</si>
  <si>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012","package_revision_id":"B012-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012","shear@S1","torsion@S1","deflection@SPAN-1","crack@S1","anchorage@RIGHT","lap@SPAN-1","seismic@B012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quotation."],"traces":[{"trace_id":"TRACE-01","leaf_id":"flexure@B012","rule_reference":"flexure","formula_reference":"native-operation-result/v1","normalized_substitution":"See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identity."},{"trace_id":"TRACE-08","leaf_id":"seismic@B012","rule_reference":"seismic","formula_reference":"native-operation-result/v1","normalized_substitution":"See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identity."}],"drawings":[{"view_id":"B012-ELEV","kind":"beam_elevation","detail_revision_id":"B012-detail-r1","data":[{"datum_id":"B012-D1","source_identity":"B012","label":"span","value":"6000","unit":"mm"},{"datum_id":"B012-D2","source_identity":"B012-B1","label":"bottom bar mark","value":"B20","unit":null}]}],"limitations":["Ordinary rectangular single-span beam example; independent project review remains required."],"human_actions":null}</t>
  </si>
  <si>
    <t>{"search_id":"B012-search-r1","domain":{"domain_id":"B012-domain","revision_id":"sample-domain-r1","project_basis_id":"beam_project_basis_id:pf4-canonical-json-v1:14b0493855f25ec337790bf76242c1d7f5bf9e1341d6039c6825d2dbbbc386d5","profile_revision_id":"ordinary-beam-profile-r1","member_id":"B012","topology_revision_id":"B012-topology-r1","action_revision_id":"B012-actions-r1","design_scope_revision_id":"B012-scope-r1","baseline_analysis_revision_id":"B012-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</si>
  <si>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B013</t>
  </si>
  <si>
    <t>standalone-beam-sample-r1:B013:r1</t>
  </si>
  <si>
    <t>{"member_id":"B013","topology_revision_id":"B013-topology-r1","action_revision_id":"B013-actions-r1","reinforcement_revision_id":"B013-reinforcement-r1","design_scope_revision_id":"B013-scope-r1","scope_instances":[{"scope_id":"S1","scope":"station","source_revision_id":"B013-scope-r1"},{"scope_id":"SPAN-1","scope":"span","source_revision_id":"B013-scope-r1"},{"scope_id":"RIGHT","scope":"bar_end","source_revision_id":"B013-scope-r1"},{"scope_id":"MID","scope":"arrangement","source_revision_id":"B013-scope-r1"}],"depth_iterations":[{"iteration_number":1,"reinforcement_revision_id":"B013-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</si>
  <si>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013","physical_span_id":"SPAN-1","topology_revision_id":"B013-topology-r1","detail_revision_id":"B013-detail-r1","coordinate_system":{"datum_id":"B013-local","station_axis":"member_station_x","section_horizontal_axis":"section_x_from_left","section_vertical_axis":"section_y_from_top"},"member_start_x_mm":0,"member_end_x_mm":6000,"section_width_mm":300,"section_depth_mm":500,"longitudinal_paths":[{"bar_id":"B013-T1","bar_mark":"T16","role":"top_longitudinal","layer":1,"diameter_mm":16,"steel_grade_n_per_mm2":415,"nodes":[{"node_id":"B013-T1-1","point":{"station_x_mm":0,"section_x_from_left_mm":60,"section_y_from_top_mm":60},"bend_radius_mm":null,"bend_kind":null},{"node_id":"B013-T1-2","point":{"station_x_mm":6000,"section_x_from_left_mm":60,"section_y_from_top_mm":60},"bend_radius_mm":null,"bend_kind":null}],"closed":false,"bundle_size":1,"anchorage_requirement_ids":null,"splice_ids":[]},{"bar_id":"B013-T2","bar_mark":"T16","role":"top_longitudinal","layer":1,"diameter_mm":16,"steel_grade_n_per_mm2":415,"nodes":[{"node_id":"B013-T2-1","point":{"station_x_mm":0,"section_x_from_left_mm":240,"section_y_from_top_mm":60},"bend_radius_mm":null,"bend_kind":null},{"node_id":"B013-T2-2","point":{"station_x_mm":6000,"section_x_from_left_mm":240,"section_y_from_top_mm":60},"bend_radius_mm":null,"bend_kind":null}],"closed":false,"bundle_size":1,"anchorage_requirement_ids":null,"splice_ids":[]},{"bar_id":"B013-B1","bar_mark":"B20","role":"bottom_longitudinal","layer":1,"diameter_mm":20,"steel_grade_n_per_mm2":415,"nodes":[{"node_id":"B013-B1-1","point":{"station_x_mm":0,"section_x_from_left_mm":60,"section_y_from_top_mm":440},"bend_radius_mm":null,"bend_kind":null},{"node_id":"B013-B1-2","point":{"station_x_mm":6000,"section_x_from_left_mm":60,"section_y_from_top_mm":440},"bend_radius_mm":null,"bend_kind":null}],"closed":false,"bundle_size":1,"anchorage_requirement_ids":null,"splice_ids":["SP-1"]},{"bar_id":"B013-B2","bar_mark":"B20","role":"bottom_longitudinal","layer":1,"diameter_mm":20,"steel_grade_n_per_mm2":415,"nodes":[{"node_id":"B013-B2-1","point":{"station_x_mm":0,"section_x_from_left_mm":150,"section_y_from_top_mm":440},"bend_radius_mm":null,"bend_kind":null},{"node_id":"B013-B2-2","point":{"station_x_mm":6000,"section_x_from_left_mm":150,"section_y_from_top_mm":440},"bend_radius_mm":null,"bend_kind":null}],"closed":false,"bundle_size":1,"anchorage_requirement_ids":null,"splice_ids":["SP-1"]},{"bar_id":"B013-B3","bar_mark":"B20","role":"bottom_longitudinal","layer":1,"diameter_mm":20,"steel_grade_n_per_mm2":415,"nodes":[{"node_id":"B013-B3-1","point":{"station_x_mm":0,"section_x_from_left_mm":240,"section_y_from_top_mm":440},"bend_radius_mm":null,"bend_kind":null},{"node_id":"B013-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</si>
  <si>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013","detail_revision_id":"B013-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</si>
  <si>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013","detail_revision_id":"B013-detail-r1","concrete_overlap_policy_id":"beam-net-prism-v1","formwork_measurement_policy_id":"contact-face-v1","concrete_segments":[{"segment_id":"CONCRETE-1","member_id":"B013","material_id":"M25","ownership_id":"B013-concrete","cross_section_area_mm2":150000,"physical_length_mm":6000,"owns_monolithic_interface":false,"deductions":null}],"formwork_faces":[{"face_id":"SOFFIT","member_id":"B013","category":"soffit","ownership_id":"B013-soffit","gross_area_mm2":1800000,"measurement_state":"included","exclusion_reason":null,"deductions":null},{"face_id":"SIDE-L","member_id":"B013","category":"side_left","ownership_id":"B013-side-left","gross_area_mm2":3000000,"measurement_state":"included","exclusion_reason":null,"deductions":null},{"face_id":"SIDE-R","member_id":"B013","category":"side_right","ownership_id":"B013-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</si>
  <si>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013","detail_revision_id":"B013-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</si>
  <si>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013","package_revision_id":"B013-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013","shear@S1","torsion@S1","deflection@SPAN-1","crack@S1","anchorage@RIGHT","lap@SPAN-1","seismic@B013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quotation."],"traces":[{"trace_id":"TRACE-01","leaf_id":"flexure@B013","rule_reference":"flexure","formula_reference":"native-operation-result/v1","normalized_substitution":"See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identity."},{"trace_id":"TRACE-08","leaf_id":"seismic@B013","rule_reference":"seismic","formula_reference":"native-operation-result/v1","normalized_substitution":"See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identity."}],"drawings":[{"view_id":"B013-ELEV","kind":"beam_elevation","detail_revision_id":"B013-detail-r1","data":[{"datum_id":"B013-D1","source_identity":"B013","label":"span","value":"6000","unit":"mm"},{"datum_id":"B013-D2","source_identity":"B013-B1","label":"bottom bar mark","value":"B20","unit":null}]}],"limitations":["Ordinary rectangular single-span beam example; independent project review remains required."],"human_actions":null}</t>
  </si>
  <si>
    <t>{"search_id":"B013-search-r1","domain":{"domain_id":"B013-domain","revision_id":"sample-domain-r1","project_basis_id":"beam_project_basis_id:pf4-canonical-json-v1:14b0493855f25ec337790bf76242c1d7f5bf9e1341d6039c6825d2dbbbc386d5","profile_revision_id":"ordinary-beam-profile-r1","member_id":"B013","topology_revision_id":"B013-topology-r1","action_revision_id":"B013-actions-r1","design_scope_revision_id":"B013-scope-r1","baseline_analysis_revision_id":"B013-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</si>
  <si>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B014</t>
  </si>
  <si>
    <t>standalone-beam-sample-r1:B014:r1</t>
  </si>
  <si>
    <t>{"member_id":"B014","topology_revision_id":"B014-topology-r1","action_revision_id":"B014-actions-r1","reinforcement_revision_id":"B014-reinforcement-r1","design_scope_revision_id":"B014-scope-r1","scope_instances":[{"scope_id":"S1","scope":"station","source_revision_id":"B014-scope-r1"},{"scope_id":"SPAN-1","scope":"span","source_revision_id":"B014-scope-r1"},{"scope_id":"RIGHT","scope":"bar_end","source_revision_id":"B014-scope-r1"},{"scope_id":"MID","scope":"arrangement","source_revision_id":"B014-scope-r1"}],"depth_iterations":[{"iteration_number":1,"reinforcement_revision_id":"B014-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</si>
  <si>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014","physical_span_id":"SPAN-1","topology_revision_id":"B014-topology-r1","detail_revision_id":"B014-detail-r1","coordinate_system":{"datum_id":"B014-local","station_axis":"member_station_x","section_horizontal_axis":"section_x_from_left","section_vertical_axis":"section_y_from_top"},"member_start_x_mm":0,"member_end_x_mm":6000,"section_width_mm":300,"section_depth_mm":500,"longitudinal_paths":[{"bar_id":"B014-T1","bar_mark":"T16","role":"top_longitudinal","layer":1,"diameter_mm":16,"steel_grade_n_per_mm2":415,"nodes":[{"node_id":"B014-T1-1","point":{"station_x_mm":0,"section_x_from_left_mm":60,"section_y_from_top_mm":60},"bend_radius_mm":null,"bend_kind":null},{"node_id":"B014-T1-2","point":{"station_x_mm":6000,"section_x_from_left_mm":60,"section_y_from_top_mm":60},"bend_radius_mm":null,"bend_kind":null}],"closed":false,"bundle_size":1,"anchorage_requirement_ids":null,"splice_ids":[]},{"bar_id":"B014-T2","bar_mark":"T16","role":"top_longitudinal","layer":1,"diameter_mm":16,"steel_grade_n_per_mm2":415,"nodes":[{"node_id":"B014-T2-1","point":{"station_x_mm":0,"section_x_from_left_mm":240,"section_y_from_top_mm":60},"bend_radius_mm":null,"bend_kind":null},{"node_id":"B014-T2-2","point":{"station_x_mm":6000,"section_x_from_left_mm":240,"section_y_from_top_mm":60},"bend_radius_mm":null,"bend_kind":null}],"closed":false,"bundle_size":1,"anchorage_requirement_ids":null,"splice_ids":[]},{"bar_id":"B014-B1","bar_mark":"B20","role":"bottom_longitudinal","layer":1,"diameter_mm":20,"steel_grade_n_per_mm2":415,"nodes":[{"node_id":"B014-B1-1","point":{"station_x_mm":0,"section_x_from_left_mm":60,"section_y_from_top_mm":440},"bend_radius_mm":null,"bend_kind":null},{"node_id":"B014-B1-2","point":{"station_x_mm":6000,"section_x_from_left_mm":60,"section_y_from_top_mm":440},"bend_radius_mm":null,"bend_kind":null}],"closed":false,"bundle_size":1,"anchorage_requirement_ids":null,"splice_ids":["SP-1"]},{"bar_id":"B014-B2","bar_mark":"B20","role":"bottom_longitudinal","layer":1,"diameter_mm":20,"steel_grade_n_per_mm2":415,"nodes":[{"node_id":"B014-B2-1","point":{"station_x_mm":0,"section_x_from_left_mm":150,"section_y_from_top_mm":440},"bend_radius_mm":null,"bend_kind":null},{"node_id":"B014-B2-2","point":{"station_x_mm":6000,"section_x_from_left_mm":150,"section_y_from_top_mm":440},"bend_radius_mm":null,"bend_kind":null}],"closed":false,"bundle_size":1,"anchorage_requirement_ids":null,"splice_ids":["SP-1"]},{"bar_id":"B014-B3","bar_mark":"B20","role":"bottom_longitudinal","layer":1,"diameter_mm":20,"steel_grade_n_per_mm2":415,"nodes":[{"node_id":"B014-B3-1","point":{"station_x_mm":0,"section_x_from_left_mm":240,"section_y_from_top_mm":440},"bend_radius_mm":null,"bend_kind":null},{"node_id":"B014-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</si>
  <si>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014","detail_revision_id":"B014-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</si>
  <si>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014","detail_revision_id":"B014-detail-r1","concrete_overlap_policy_id":"beam-net-prism-v1","formwork_measurement_policy_id":"contact-face-v1","concrete_segments":[{"segment_id":"CONCRETE-1","member_id":"B014","material_id":"M25","ownership_id":"B014-concrete","cross_section_area_mm2":150000,"physical_length_mm":6000,"owns_monolithic_interface":false,"deductions":null}],"formwork_faces":[{"face_id":"SOFFIT","member_id":"B014","category":"soffit","ownership_id":"B014-soffit","gross_area_mm2":1800000,"measurement_state":"included","exclusion_reason":null,"deductions":null},{"face_id":"SIDE-L","member_id":"B014","category":"side_left","ownership_id":"B014-side-left","gross_area_mm2":3000000,"measurement_state":"included","exclusion_reason":null,"deductions":null},{"face_id":"SIDE-R","member_id":"B014","category":"side_right","ownership_id":"B014-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</si>
  <si>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014","detail_revision_id":"B014-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</si>
  <si>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014","package_revision_id":"B014-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014","shear@S1","torsion@S1","deflection@SPAN-1","crack@S1","anchorage@RIGHT","lap@SPAN-1","seismic@B014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quotation."],"traces":[{"trace_id":"TRACE-01","leaf_id":"flexure@B014","rule_reference":"flexure","formula_reference":"native-operation-result/v1","normalized_substitution":"See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identity."},{"trace_id":"TRACE-08","leaf_id":"seismic@B014","rule_reference":"seismic","formula_reference":"native-operation-result/v1","normalized_substitution":"See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identity."}],"drawings":[{"view_id":"B014-ELEV","kind":"beam_elevation","detail_revision_id":"B014-detail-r1","data":[{"datum_id":"B014-D1","source_identity":"B014","label":"span","value":"6000","unit":"mm"},{"datum_id":"B014-D2","source_identity":"B014-B1","label":"bottom bar mark","value":"B20","unit":null}]}],"limitations":["Ordinary rectangular single-span beam example; independent project review remains required."],"human_actions":null}</t>
  </si>
  <si>
    <t>{"search_id":"B014-search-r1","domain":{"domain_id":"B014-domain","revision_id":"sample-domain-r1","project_basis_id":"beam_project_basis_id:pf4-canonical-json-v1:14b0493855f25ec337790bf76242c1d7f5bf9e1341d6039c6825d2dbbbc386d5","profile_revision_id":"ordinary-beam-profile-r1","member_id":"B014","topology_revision_id":"B014-topology-r1","action_revision_id":"B014-actions-r1","design_scope_revision_id":"B014-scope-r1","baseline_analysis_revision_id":"B014-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</si>
  <si>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B015</t>
  </si>
  <si>
    <t>standalone-beam-sample-r1:B015:r1</t>
  </si>
  <si>
    <t>{"member_id":"B015","topology_revision_id":"B015-topology-r1","action_revision_id":"B015-actions-r1","reinforcement_revision_id":"B015-reinforcement-r1","design_scope_revision_id":"B015-scope-r1","scope_instances":[{"scope_id":"S1","scope":"station","source_revision_id":"B015-scope-r1"},{"scope_id":"SPAN-1","scope":"span","source_revision_id":"B015-scope-r1"},{"scope_id":"RIGHT","scope":"bar_end","source_revision_id":"B015-scope-r1"},{"scope_id":"MID","scope":"arrangement","source_revision_id":"B015-scope-r1"}],"depth_iterations":[{"iteration_number":1,"reinforcement_revision_id":"B015-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</si>
  <si>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015","physical_span_id":"SPAN-1","topology_revision_id":"B015-topology-r1","detail_revision_id":"B015-detail-r1","coordinate_system":{"datum_id":"B015-local","station_axis":"member_station_x","section_horizontal_axis":"section_x_from_left","section_vertical_axis":"section_y_from_top"},"member_start_x_mm":0,"member_end_x_mm":6000,"section_width_mm":300,"section_depth_mm":500,"longitudinal_paths":[{"bar_id":"B015-T1","bar_mark":"T16","role":"top_longitudinal","layer":1,"diameter_mm":16,"steel_grade_n_per_mm2":415,"nodes":[{"node_id":"B015-T1-1","point":{"station_x_mm":0,"section_x_from_left_mm":60,"section_y_from_top_mm":60},"bend_radius_mm":null,"bend_kind":null},{"node_id":"B015-T1-2","point":{"station_x_mm":6000,"section_x_from_left_mm":60,"section_y_from_top_mm":60},"bend_radius_mm":null,"bend_kind":null}],"closed":false,"bundle_size":1,"anchorage_requirement_ids":null,"splice_ids":[]},{"bar_id":"B015-T2","bar_mark":"T16","role":"top_longitudinal","layer":1,"diameter_mm":16,"steel_grade_n_per_mm2":415,"nodes":[{"node_id":"B015-T2-1","point":{"station_x_mm":0,"section_x_from_left_mm":240,"section_y_from_top_mm":60},"bend_radius_mm":null,"bend_kind":null},{"node_id":"B015-T2-2","point":{"station_x_mm":6000,"section_x_from_left_mm":240,"section_y_from_top_mm":60},"bend_radius_mm":null,"bend_kind":null}],"closed":false,"bundle_size":1,"anchorage_requirement_ids":null,"splice_ids":[]},{"bar_id":"B015-B1","bar_mark":"B20","role":"bottom_longitudinal","layer":1,"diameter_mm":20,"steel_grade_n_per_mm2":415,"nodes":[{"node_id":"B015-B1-1","point":{"station_x_mm":0,"section_x_from_left_mm":60,"section_y_from_top_mm":440},"bend_radius_mm":null,"bend_kind":null},{"node_id":"B015-B1-2","point":{"station_x_mm":6000,"section_x_from_left_mm":60,"section_y_from_top_mm":440},"bend_radius_mm":null,"bend_kind":null}],"closed":false,"bundle_size":1,"anchorage_requirement_ids":null,"splice_ids":["SP-1"]},{"bar_id":"B015-B2","bar_mark":"B20","role":"bottom_longitudinal","layer":1,"diameter_mm":20,"steel_grade_n_per_mm2":415,"nodes":[{"node_id":"B015-B2-1","point":{"station_x_mm":0,"section_x_from_left_mm":150,"section_y_from_top_mm":440},"bend_radius_mm":null,"bend_kind":null},{"node_id":"B015-B2-2","point":{"station_x_mm":6000,"section_x_from_left_mm":150,"section_y_from_top_mm":440},"bend_radius_mm":null,"bend_kind":null}],"closed":false,"bundle_size":1,"anchorage_requirement_ids":null,"splice_ids":["SP-1"]},{"bar_id":"B015-B3","bar_mark":"B20","role":"bottom_longitudinal","layer":1,"diameter_mm":20,"steel_grade_n_per_mm2":415,"nodes":[{"node_id":"B015-B3-1","point":{"station_x_mm":0,"section_x_from_left_mm":240,"section_y_from_top_mm":440},"bend_radius_mm":null,"bend_kind":null},{"node_id":"B015-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</si>
  <si>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015","detail_revision_id":"B015-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</si>
  <si>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015","detail_revision_id":"B015-detail-r1","concrete_overlap_policy_id":"beam-net-prism-v1","formwork_measurement_policy_id":"contact-face-v1","concrete_segments":[{"segment_id":"CONCRETE-1","member_id":"B015","material_id":"M25","ownership_id":"B015-concrete","cross_section_area_mm2":150000,"physical_length_mm":6000,"owns_monolithic_interface":false,"deductions":null}],"formwork_faces":[{"face_id":"SOFFIT","member_id":"B015","category":"soffit","ownership_id":"B015-soffit","gross_area_mm2":1800000,"measurement_state":"included","exclusion_reason":null,"deductions":null},{"face_id":"SIDE-L","member_id":"B015","category":"side_left","ownership_id":"B015-side-left","gross_area_mm2":3000000,"measurement_state":"included","exclusion_reason":null,"deductions":null},{"face_id":"SIDE-R","member_id":"B015","category":"side_right","ownership_id":"B015-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</si>
  <si>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015","detail_revision_id":"B015-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</si>
  <si>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015","package_revision_id":"B015-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015","shear@S1","torsion@S1","deflection@SPAN-1","crack@S1","anchorage@RIGHT","lap@SPAN-1","seismic@B015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quotation."],"traces":[{"trace_id":"TRACE-01","leaf_id":"flexure@B015","rule_reference":"flexure","formula_reference":"native-operation-result/v1","normalized_substitution":"See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identity."},{"trace_id":"TRACE-08","leaf_id":"seismic@B015","rule_reference":"seismic","formula_reference":"native-operation-result/v1","normalized_substitution":"See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identity."}],"drawings":[{"view_id":"B015-ELEV","kind":"beam_elevation","detail_revision_id":"B015-detail-r1","data":[{"datum_id":"B015-D1","source_identity":"B015","label":"span","value":"6000","unit":"mm"},{"datum_id":"B015-D2","source_identity":"B015-B1","label":"bottom bar mark","value":"B20","unit":null}]}],"limitations":["Ordinary rectangular single-span beam example; independent project review remains required."],"human_actions":null}</t>
  </si>
  <si>
    <t>{"search_id":"B015-search-r1","domain":{"domain_id":"B015-domain","revision_id":"sample-domain-r1","project_basis_id":"beam_project_basis_id:pf4-canonical-json-v1:14b0493855f25ec337790bf76242c1d7f5bf9e1341d6039c6825d2dbbbc386d5","profile_revision_id":"ordinary-beam-profile-r1","member_id":"B015","topology_revision_id":"B015-topology-r1","action_revision_id":"B015-actions-r1","design_scope_revision_id":"B015-scope-r1","baseline_analysis_revision_id":"B015-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</si>
  <si>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B016</t>
  </si>
  <si>
    <t>standalone-beam-sample-r1:B016:r1</t>
  </si>
  <si>
    <t>{"member_id":"B016","topology_revision_id":"B016-topology-r1","action_revision_id":"B016-actions-r1","reinforcement_revision_id":"B016-reinforcement-r1","design_scope_revision_id":"B016-scope-r1","scope_instances":[{"scope_id":"S1","scope":"station","source_revision_id":"B016-scope-r1"},{"scope_id":"SPAN-1","scope":"span","source_revision_id":"B016-scope-r1"},{"scope_id":"RIGHT","scope":"bar_end","source_revision_id":"B016-scope-r1"},{"scope_id":"MID","scope":"arrangement","source_revision_id":"B016-scope-r1"}],"depth_iterations":[{"iteration_number":1,"reinforcement_revision_id":"B016-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</si>
  <si>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016","physical_span_id":"SPAN-1","topology_revision_id":"B016-topology-r1","detail_revision_id":"B016-detail-r1","coordinate_system":{"datum_id":"B016-local","station_axis":"member_station_x","section_horizontal_axis":"section_x_from_left","section_vertical_axis":"section_y_from_top"},"member_start_x_mm":0,"member_end_x_mm":6000,"section_width_mm":300,"section_depth_mm":500,"longitudinal_paths":[{"bar_id":"B016-T1","bar_mark":"T16","role":"top_longitudinal","layer":1,"diameter_mm":16,"steel_grade_n_per_mm2":415,"nodes":[{"node_id":"B016-T1-1","point":{"station_x_mm":0,"section_x_from_left_mm":60,"section_y_from_top_mm":60},"bend_radius_mm":null,"bend_kind":null},{"node_id":"B016-T1-2","point":{"station_x_mm":6000,"section_x_from_left_mm":60,"section_y_from_top_mm":60},"bend_radius_mm":null,"bend_kind":null}],"closed":false,"bundle_size":1,"anchorage_requirement_ids":null,"splice_ids":[]},{"bar_id":"B016-T2","bar_mark":"T16","role":"top_longitudinal","layer":1,"diameter_mm":16,"steel_grade_n_per_mm2":415,"nodes":[{"node_id":"B016-T2-1","point":{"station_x_mm":0,"section_x_from_left_mm":240,"section_y_from_top_mm":60},"bend_radius_mm":null,"bend_kind":null},{"node_id":"B016-T2-2","point":{"station_x_mm":6000,"section_x_from_left_mm":240,"section_y_from_top_mm":60},"bend_radius_mm":null,"bend_kind":null}],"closed":false,"bundle_size":1,"anchorage_requirement_ids":null,"splice_ids":[]},{"bar_id":"B016-B1","bar_mark":"B20","role":"bottom_longitudinal","layer":1,"diameter_mm":20,"steel_grade_n_per_mm2":415,"nodes":[{"node_id":"B016-B1-1","point":{"station_x_mm":0,"section_x_from_left_mm":60,"section_y_from_top_mm":440},"bend_radius_mm":null,"bend_kind":null},{"node_id":"B016-B1-2","point":{"station_x_mm":6000,"section_x_from_left_mm":60,"section_y_from_top_mm":440},"bend_radius_mm":null,"bend_kind":null}],"closed":false,"bundle_size":1,"anchorage_requirement_ids":null,"splice_ids":["SP-1"]},{"bar_id":"B016-B2","bar_mark":"B20","role":"bottom_longitudinal","layer":1,"diameter_mm":20,"steel_grade_n_per_mm2":415,"nodes":[{"node_id":"B016-B2-1","point":{"station_x_mm":0,"section_x_from_left_mm":150,"section_y_from_top_mm":440},"bend_radius_mm":null,"bend_kind":null},{"node_id":"B016-B2-2","point":{"station_x_mm":6000,"section_x_from_left_mm":150,"section_y_from_top_mm":440},"bend_radius_mm":null,"bend_kind":null}],"closed":false,"bundle_size":1,"anchorage_requirement_ids":null,"splice_ids":["SP-1"]},{"bar_id":"B016-B3","bar_mark":"B20","role":"bottom_longitudinal","layer":1,"diameter_mm":20,"steel_grade_n_per_mm2":415,"nodes":[{"node_id":"B016-B3-1","point":{"station_x_mm":0,"section_x_from_left_mm":240,"section_y_from_top_mm":440},"bend_radius_mm":null,"bend_kind":null},{"node_id":"B016-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</si>
  <si>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016","detail_revision_id":"B016-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</si>
  <si>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016","detail_revision_id":"B016-detail-r1","concrete_overlap_policy_id":"beam-net-prism-v1","formwork_measurement_policy_id":"contact-face-v1","concrete_segments":[{"segment_id":"CONCRETE-1","member_id":"B016","material_id":"M25","ownership_id":"B016-concrete","cross_section_area_mm2":150000,"physical_length_mm":6000,"owns_monolithic_interface":false,"deductions":null}],"formwork_faces":[{"face_id":"SOFFIT","member_id":"B016","category":"soffit","ownership_id":"B016-soffit","gross_area_mm2":1800000,"measurement_state":"included","exclusion_reason":null,"deductions":null},{"face_id":"SIDE-L","member_id":"B016","category":"side_left","ownership_id":"B016-side-left","gross_area_mm2":3000000,"measurement_state":"included","exclusion_reason":null,"deductions":null},{"face_id":"SIDE-R","member_id":"B016","category":"side_right","ownership_id":"B016-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</si>
  <si>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016","detail_revision_id":"B016-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</si>
  <si>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016","package_revision_id":"B016-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016","shear@S1","torsion@S1","deflection@SPAN-1","crack@S1","anchorage@RIGHT","lap@SPAN-1","seismic@B016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quotation."],"traces":[{"trace_id":"TRACE-01","leaf_id":"flexure@B016","rule_reference":"flexure","formula_reference":"native-operation-result/v1","normalized_substitution":"See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identity."},{"trace_id":"TRACE-08","leaf_id":"seismic@B016","rule_reference":"seismic","formula_reference":"native-operation-result/v1","normalized_substitution":"See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identity."}],"drawings":[{"view_id":"B016-ELEV","kind":"beam_elevation","detail_revision_id":"B016-detail-r1","data":[{"datum_id":"B016-D1","source_identity":"B016","label":"span","value":"6000","unit":"mm"},{"datum_id":"B016-D2","source_identity":"B016-B1","label":"bottom bar mark","value":"B20","unit":null}]}],"limitations":["Ordinary rectangular single-span beam example; independent project review remains required."],"human_actions":null}</t>
  </si>
  <si>
    <t>{"search_id":"B016-search-r1","domain":{"domain_id":"B016-domain","revision_id":"sample-domain-r1","project_basis_id":"beam_project_basis_id:pf4-canonical-json-v1:14b0493855f25ec337790bf76242c1d7f5bf9e1341d6039c6825d2dbbbc386d5","profile_revision_id":"ordinary-beam-profile-r1","member_id":"B016","topology_revision_id":"B016-topology-r1","action_revision_id":"B016-actions-r1","design_scope_revision_id":"B016-scope-r1","baseline_analysis_revision_id":"B016-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</si>
  <si>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B017</t>
  </si>
  <si>
    <t>standalone-beam-sample-r1:B017:r1</t>
  </si>
  <si>
    <t>{"member_id":"B017","topology_revision_id":"B017-topology-r1","action_revision_id":"B017-actions-r1","reinforcement_revision_id":"B017-reinforcement-r1","design_scope_revision_id":"B017-scope-r1","scope_instances":[{"scope_id":"S1","scope":"station","source_revision_id":"B017-scope-r1"},{"scope_id":"SPAN-1","scope":"span","source_revision_id":"B017-scope-r1"},{"scope_id":"RIGHT","scope":"bar_end","source_revision_id":"B017-scope-r1"},{"scope_id":"MID","scope":"arrangement","source_revision_id":"B017-scope-r1"}],"depth_iterations":[{"iteration_number":1,"reinforcement_revision_id":"B017-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</si>
  <si>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017","physical_span_id":"SPAN-1","topology_revision_id":"B017-topology-r1","detail_revision_id":"B017-detail-r1","coordinate_system":{"datum_id":"B017-local","station_axis":"member_station_x","section_horizontal_axis":"section_x_from_left","section_vertical_axis":"section_y_from_top"},"member_start_x_mm":0,"member_end_x_mm":6000,"section_width_mm":300,"section_depth_mm":500,"longitudinal_paths":[{"bar_id":"B017-T1","bar_mark":"T16","role":"top_longitudinal","layer":1,"diameter_mm":16,"steel_grade_n_per_mm2":415,"nodes":[{"node_id":"B017-T1-1","point":{"station_x_mm":0,"section_x_from_left_mm":60,"section_y_from_top_mm":60},"bend_radius_mm":null,"bend_kind":null},{"node_id":"B017-T1-2","point":{"station_x_mm":6000,"section_x_from_left_mm":60,"section_y_from_top_mm":60},"bend_radius_mm":null,"bend_kind":null}],"closed":false,"bundle_size":1,"anchorage_requirement_ids":null,"splice_ids":[]},{"bar_id":"B017-T2","bar_mark":"T16","role":"top_longitudinal","layer":1,"diameter_mm":16,"steel_grade_n_per_mm2":415,"nodes":[{"node_id":"B017-T2-1","point":{"station_x_mm":0,"section_x_from_left_mm":240,"section_y_from_top_mm":60},"bend_radius_mm":null,"bend_kind":null},{"node_id":"B017-T2-2","point":{"station_x_mm":6000,"section_x_from_left_mm":240,"section_y_from_top_mm":60},"bend_radius_mm":null,"bend_kind":null}],"closed":false,"bundle_size":1,"anchorage_requirement_ids":null,"splice_ids":[]},{"bar_id":"B017-B1","bar_mark":"B20","role":"bottom_longitudinal","layer":1,"diameter_mm":20,"steel_grade_n_per_mm2":415,"nodes":[{"node_id":"B017-B1-1","point":{"station_x_mm":0,"section_x_from_left_mm":60,"section_y_from_top_mm":440},"bend_radius_mm":null,"bend_kind":null},{"node_id":"B017-B1-2","point":{"station_x_mm":6000,"section_x_from_left_mm":60,"section_y_from_top_mm":440},"bend_radius_mm":null,"bend_kind":null}],"closed":false,"bundle_size":1,"anchorage_requirement_ids":null,"splice_ids":["SP-1"]},{"bar_id":"B017-B2","bar_mark":"B20","role":"bottom_longitudinal","layer":1,"diameter_mm":20,"steel_grade_n_per_mm2":415,"nodes":[{"node_id":"B017-B2-1","point":{"station_x_mm":0,"section_x_from_left_mm":150,"section_y_from_top_mm":440},"bend_radius_mm":null,"bend_kind":null},{"node_id":"B017-B2-2","point":{"station_x_mm":6000,"section_x_from_left_mm":150,"section_y_from_top_mm":440},"bend_radius_mm":null,"bend_kind":null}],"closed":false,"bundle_size":1,"anchorage_requirement_ids":null,"splice_ids":["SP-1"]},{"bar_id":"B017-B3","bar_mark":"B20","role":"bottom_longitudinal","layer":1,"diameter_mm":20,"steel_grade_n_per_mm2":415,"nodes":[{"node_id":"B017-B3-1","point":{"station_x_mm":0,"section_x_from_left_mm":240,"section_y_from_top_mm":440},"bend_radius_mm":null,"bend_kind":null},{"node_id":"B017-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</si>
  <si>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017","detail_revision_id":"B017-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</si>
  <si>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017","detail_revision_id":"B017-detail-r1","concrete_overlap_policy_id":"beam-net-prism-v1","formwork_measurement_policy_id":"contact-face-v1","concrete_segments":[{"segment_id":"CONCRETE-1","member_id":"B017","material_id":"M25","ownership_id":"B017-concrete","cross_section_area_mm2":150000,"physical_length_mm":6000,"owns_monolithic_interface":false,"deductions":null}],"formwork_faces":[{"face_id":"SOFFIT","member_id":"B017","category":"soffit","ownership_id":"B017-soffit","gross_area_mm2":1800000,"measurement_state":"included","exclusion_reason":null,"deductions":null},{"face_id":"SIDE-L","member_id":"B017","category":"side_left","ownership_id":"B017-side-left","gross_area_mm2":3000000,"measurement_state":"included","exclusion_reason":null,"deductions":null},{"face_id":"SIDE-R","member_id":"B017","category":"side_right","ownership_id":"B017-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</si>
  <si>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017","detail_revision_id":"B017-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</si>
  <si>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017","package_revision_id":"B017-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017","shear@S1","torsion@S1","deflection@SPAN-1","crack@S1","anchorage@RIGHT","lap@SPAN-1","seismic@B017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quotation."],"traces":[{"trace_id":"TRACE-01","leaf_id":"flexure@B017","rule_reference":"flexure","formula_reference":"native-operation-result/v1","normalized_substitution":"See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identity."},{"trace_id":"TRACE-08","leaf_id":"seismic@B017","rule_reference":"seismic","formula_reference":"native-operation-result/v1","normalized_substitution":"See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identity."}],"drawings":[{"view_id":"B017-ELEV","kind":"beam_elevation","detail_revision_id":"B017-detail-r1","data":[{"datum_id":"B017-D1","source_identity":"B017","label":"span","value":"6000","unit":"mm"},{"datum_id":"B017-D2","source_identity":"B017-B1","label":"bottom bar mark","value":"B20","unit":null}]}],"limitations":["Ordinary rectangular single-span beam example; independent project review remains required."],"human_actions":null}</t>
  </si>
  <si>
    <t>{"search_id":"B017-search-r1","domain":{"domain_id":"B017-domain","revision_id":"sample-domain-r1","project_basis_id":"beam_project_basis_id:pf4-canonical-json-v1:14b0493855f25ec337790bf76242c1d7f5bf9e1341d6039c6825d2dbbbc386d5","profile_revision_id":"ordinary-beam-profile-r1","member_id":"B017","topology_revision_id":"B017-topology-r1","action_revision_id":"B017-actions-r1","design_scope_revision_id":"B017-scope-r1","baseline_analysis_revision_id":"B017-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</si>
  <si>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B018</t>
  </si>
  <si>
    <t>standalone-beam-sample-r1:B018:r1</t>
  </si>
  <si>
    <t>{"member_id":"B018","topology_revision_id":"B018-topology-r1","action_revision_id":"B018-actions-r1","reinforcement_revision_id":"B018-reinforcement-r1","design_scope_revision_id":"B018-scope-r1","scope_instances":[{"scope_id":"S1","scope":"station","source_revision_id":"B018-scope-r1"},{"scope_id":"SPAN-1","scope":"span","source_revision_id":"B018-scope-r1"},{"scope_id":"RIGHT","scope":"bar_end","source_revision_id":"B018-scope-r1"},{"scope_id":"MID","scope":"arrangement","source_revision_id":"B018-scope-r1"}],"depth_iterations":[{"iteration_number":1,"reinforcement_revision_id":"B018-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</si>
  <si>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018","physical_span_id":"SPAN-1","topology_revision_id":"B018-topology-r1","detail_revision_id":"B018-detail-r1","coordinate_system":{"datum_id":"B018-local","station_axis":"member_station_x","section_horizontal_axis":"section_x_from_left","section_vertical_axis":"section_y_from_top"},"member_start_x_mm":0,"member_end_x_mm":6000,"section_width_mm":300,"section_depth_mm":500,"longitudinal_paths":[{"bar_id":"B018-T1","bar_mark":"T16","role":"top_longitudinal","layer":1,"diameter_mm":16,"steel_grade_n_per_mm2":415,"nodes":[{"node_id":"B018-T1-1","point":{"station_x_mm":0,"section_x_from_left_mm":60,"section_y_from_top_mm":60},"bend_radius_mm":null,"bend_kind":null},{"node_id":"B018-T1-2","point":{"station_x_mm":6000,"section_x_from_left_mm":60,"section_y_from_top_mm":60},"bend_radius_mm":null,"bend_kind":null}],"closed":false,"bundle_size":1,"anchorage_requirement_ids":null,"splice_ids":[]},{"bar_id":"B018-T2","bar_mark":"T16","role":"top_longitudinal","layer":1,"diameter_mm":16,"steel_grade_n_per_mm2":415,"nodes":[{"node_id":"B018-T2-1","point":{"station_x_mm":0,"section_x_from_left_mm":240,"section_y_from_top_mm":60},"bend_radius_mm":null,"bend_kind":null},{"node_id":"B018-T2-2","point":{"station_x_mm":6000,"section_x_from_left_mm":240,"section_y_from_top_mm":60},"bend_radius_mm":null,"bend_kind":null}],"closed":false,"bundle_size":1,"anchorage_requirement_ids":null,"splice_ids":[]},{"bar_id":"B018-B1","bar_mark":"B20","role":"bottom_longitudinal","layer":1,"diameter_mm":20,"steel_grade_n_per_mm2":415,"nodes":[{"node_id":"B018-B1-1","point":{"station_x_mm":0,"section_x_from_left_mm":60,"section_y_from_top_mm":440},"bend_radius_mm":null,"bend_kind":null},{"node_id":"B018-B1-2","point":{"station_x_mm":6000,"section_x_from_left_mm":60,"section_y_from_top_mm":440},"bend_radius_mm":null,"bend_kind":null}],"closed":false,"bundle_size":1,"anchorage_requirement_ids":null,"splice_ids":["SP-1"]},{"bar_id":"B018-B2","bar_mark":"B20","role":"bottom_longitudinal","layer":1,"diameter_mm":20,"steel_grade_n_per_mm2":415,"nodes":[{"node_id":"B018-B2-1","point":{"station_x_mm":0,"section_x_from_left_mm":150,"section_y_from_top_mm":440},"bend_radius_mm":null,"bend_kind":null},{"node_id":"B018-B2-2","point":{"station_x_mm":6000,"section_x_from_left_mm":150,"section_y_from_top_mm":440},"bend_radius_mm":null,"bend_kind":null}],"closed":false,"bundle_size":1,"anchorage_requirement_ids":null,"splice_ids":["SP-1"]},{"bar_id":"B018-B3","bar_mark":"B20","role":"bottom_longitudinal","layer":1,"diameter_mm":20,"steel_grade_n_per_mm2":415,"nodes":[{"node_id":"B018-B3-1","point":{"station_x_mm":0,"section_x_from_left_mm":240,"section_y_from_top_mm":440},"bend_radius_mm":null,"bend_kind":null},{"node_id":"B018-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</si>
  <si>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018","detail_revision_id":"B018-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</si>
  <si>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018","detail_revision_id":"B018-detail-r1","concrete_overlap_policy_id":"beam-net-prism-v1","formwork_measurement_policy_id":"contact-face-v1","concrete_segments":[{"segment_id":"CONCRETE-1","member_id":"B018","material_id":"M25","ownership_id":"B018-concrete","cross_section_area_mm2":150000,"physical_length_mm":6000,"owns_monolithic_interface":false,"deductions":null}],"formwork_faces":[{"face_id":"SOFFIT","member_id":"B018","category":"soffit","ownership_id":"B018-soffit","gross_area_mm2":1800000,"measurement_state":"included","exclusion_reason":null,"deductions":null},{"face_id":"SIDE-L","member_id":"B018","category":"side_left","ownership_id":"B018-side-left","gross_area_mm2":3000000,"measurement_state":"included","exclusion_reason":null,"deductions":null},{"face_id":"SIDE-R","member_id":"B018","category":"side_right","ownership_id":"B018-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</si>
  <si>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018","detail_revision_id":"B018-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</si>
  <si>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018","package_revision_id":"B018-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018","shear@S1","torsion@S1","deflection@SPAN-1","crack@S1","anchorage@RIGHT","lap@SPAN-1","seismic@B018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quotation."],"traces":[{"trace_id":"TRACE-01","leaf_id":"flexure@B018","rule_reference":"flexure","formula_reference":"native-operation-result/v1","normalized_substitution":"See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identity."},{"trace_id":"TRACE-08","leaf_id":"seismic@B018","rule_reference":"seismic","formula_reference":"native-operation-result/v1","normalized_substitution":"See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identity."}],"drawings":[{"view_id":"B018-ELEV","kind":"beam_elevation","detail_revision_id":"B018-detail-r1","data":[{"datum_id":"B018-D1","source_identity":"B018","label":"span","value":"6000","unit":"mm"},{"datum_id":"B018-D2","source_identity":"B018-B1","label":"bottom bar mark","value":"B20","unit":null}]}],"limitations":["Ordinary rectangular single-span beam example; independent project review remains required."],"human_actions":null}</t>
  </si>
  <si>
    <t>{"search_id":"B018-search-r1","domain":{"domain_id":"B018-domain","revision_id":"sample-domain-r1","project_basis_id":"beam_project_basis_id:pf4-canonical-json-v1:14b0493855f25ec337790bf76242c1d7f5bf9e1341d6039c6825d2dbbbc386d5","profile_revision_id":"ordinary-beam-profile-r1","member_id":"B018","topology_revision_id":"B018-topology-r1","action_revision_id":"B018-actions-r1","design_scope_revision_id":"B018-scope-r1","baseline_analysis_revision_id":"B018-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</si>
  <si>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B019</t>
  </si>
  <si>
    <t>standalone-beam-sample-r1:B019:r1</t>
  </si>
  <si>
    <t>{"member_id":"B019","topology_revision_id":"B019-topology-r1","action_revision_id":"B019-actions-r1","reinforcement_revision_id":"B019-reinforcement-r1","design_scope_revision_id":"B019-scope-r1","scope_instances":[{"scope_id":"S1","scope":"station","source_revision_id":"B019-scope-r1"},{"scope_id":"SPAN-1","scope":"span","source_revision_id":"B019-scope-r1"},{"scope_id":"RIGHT","scope":"bar_end","source_revision_id":"B019-scope-r1"},{"scope_id":"MID","scope":"arrangement","source_revision_id":"B019-scope-r1"}],"depth_iterations":[{"iteration_number":1,"reinforcement_revision_id":"B019-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</si>
  <si>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019","physical_span_id":"SPAN-1","topology_revision_id":"B019-topology-r1","detail_revision_id":"B019-detail-r1","coordinate_system":{"datum_id":"B019-local","station_axis":"member_station_x","section_horizontal_axis":"section_x_from_left","section_vertical_axis":"section_y_from_top"},"member_start_x_mm":0,"member_end_x_mm":6000,"section_width_mm":300,"section_depth_mm":500,"longitudinal_paths":[{"bar_id":"B019-T1","bar_mark":"T16","role":"top_longitudinal","layer":1,"diameter_mm":16,"steel_grade_n_per_mm2":415,"nodes":[{"node_id":"B019-T1-1","point":{"station_x_mm":0,"section_x_from_left_mm":60,"section_y_from_top_mm":60},"bend_radius_mm":null,"bend_kind":null},{"node_id":"B019-T1-2","point":{"station_x_mm":6000,"section_x_from_left_mm":60,"section_y_from_top_mm":60},"bend_radius_mm":null,"bend_kind":null}],"closed":false,"bundle_size":1,"anchorage_requirement_ids":null,"splice_ids":[]},{"bar_id":"B019-T2","bar_mark":"T16","role":"top_longitudinal","layer":1,"diameter_mm":16,"steel_grade_n_per_mm2":415,"nodes":[{"node_id":"B019-T2-1","point":{"station_x_mm":0,"section_x_from_left_mm":240,"section_y_from_top_mm":60},"bend_radius_mm":null,"bend_kind":null},{"node_id":"B019-T2-2","point":{"station_x_mm":6000,"section_x_from_left_mm":240,"section_y_from_top_mm":60},"bend_radius_mm":null,"bend_kind":null}],"closed":false,"bundle_size":1,"anchorage_requirement_ids":null,"splice_ids":[]},{"bar_id":"B019-B1","bar_mark":"B20","role":"bottom_longitudinal","layer":1,"diameter_mm":20,"steel_grade_n_per_mm2":415,"nodes":[{"node_id":"B019-B1-1","point":{"station_x_mm":0,"section_x_from_left_mm":60,"section_y_from_top_mm":440},"bend_radius_mm":null,"bend_kind":null},{"node_id":"B019-B1-2","point":{"station_x_mm":6000,"section_x_from_left_mm":60,"section_y_from_top_mm":440},"bend_radius_mm":null,"bend_kind":null}],"closed":false,"bundle_size":1,"anchorage_requirement_ids":null,"splice_ids":["SP-1"]},{"bar_id":"B019-B2","bar_mark":"B20","role":"bottom_longitudinal","layer":1,"diameter_mm":20,"steel_grade_n_per_mm2":415,"nodes":[{"node_id":"B019-B2-1","point":{"station_x_mm":0,"section_x_from_left_mm":150,"section_y_from_top_mm":440},"bend_radius_mm":null,"bend_kind":null},{"node_id":"B019-B2-2","point":{"station_x_mm":6000,"section_x_from_left_mm":150,"section_y_from_top_mm":440},"bend_radius_mm":null,"bend_kind":null}],"closed":false,"bundle_size":1,"anchorage_requirement_ids":null,"splice_ids":["SP-1"]},{"bar_id":"B019-B3","bar_mark":"B20","role":"bottom_longitudinal","layer":1,"diameter_mm":20,"steel_grade_n_per_mm2":415,"nodes":[{"node_id":"B019-B3-1","point":{"station_x_mm":0,"section_x_from_left_mm":240,"section_y_from_top_mm":440},"bend_radius_mm":null,"bend_kind":null},{"node_id":"B019-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</si>
  <si>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019","detail_revision_id":"B019-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</si>
  <si>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019","detail_revision_id":"B019-detail-r1","concrete_overlap_policy_id":"beam-net-prism-v1","formwork_measurement_policy_id":"contact-face-v1","concrete_segments":[{"segment_id":"CONCRETE-1","member_id":"B019","material_id":"M25","ownership_id":"B019-concrete","cross_section_area_mm2":150000,"physical_length_mm":6000,"owns_monolithic_interface":false,"deductions":null}],"formwork_faces":[{"face_id":"SOFFIT","member_id":"B019","category":"soffit","ownership_id":"B019-soffit","gross_area_mm2":1800000,"measurement_state":"included","exclusion_reason":null,"deductions":null},{"face_id":"SIDE-L","member_id":"B019","category":"side_left","ownership_id":"B019-side-left","gross_area_mm2":3000000,"measurement_state":"included","exclusion_reason":null,"deductions":null},{"face_id":"SIDE-R","member_id":"B019","category":"side_right","ownership_id":"B019-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</si>
  <si>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019","detail_revision_id":"B019-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</si>
  <si>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019","package_revision_id":"B019-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019","shear@S1","torsion@S1","deflection@SPAN-1","crack@S1","anchorage@RIGHT","lap@SPAN-1","seismic@B019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quotation."],"traces":[{"trace_id":"TRACE-01","leaf_id":"flexure@B019","rule_reference":"flexure","formula_reference":"native-operation-result/v1","normalized_substitution":"See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identity."},{"trace_id":"TRACE-08","leaf_id":"seismic@B019","rule_reference":"seismic","formula_reference":"native-operation-result/v1","normalized_substitution":"See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identity."}],"drawings":[{"view_id":"B019-ELEV","kind":"beam_elevation","detail_revision_id":"B019-detail-r1","data":[{"datum_id":"B019-D1","source_identity":"B019","label":"span","value":"6000","unit":"mm"},{"datum_id":"B019-D2","source_identity":"B019-B1","label":"bottom bar mark","value":"B20","unit":null}]}],"limitations":["Ordinary rectangular single-span beam example; independent project review remains required."],"human_actions":null}</t>
  </si>
  <si>
    <t>{"search_id":"B019-search-r1","domain":{"domain_id":"B019-domain","revision_id":"sample-domain-r1","project_basis_id":"beam_project_basis_id:pf4-canonical-json-v1:14b0493855f25ec337790bf76242c1d7f5bf9e1341d6039c6825d2dbbbc386d5","profile_revision_id":"ordinary-beam-profile-r1","member_id":"B019","topology_revision_id":"B019-topology-r1","action_revision_id":"B019-actions-r1","design_scope_revision_id":"B019-scope-r1","baseline_analysis_revision_id":"B019-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</si>
  <si>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B020</t>
  </si>
  <si>
    <t>standalone-beam-sample-r1:B020:r1</t>
  </si>
  <si>
    <t>{"member_id":"B020","topology_revision_id":"B020-topology-r1","action_revision_id":"B020-actions-r1","reinforcement_revision_id":"B020-reinforcement-r1","design_scope_revision_id":"B020-scope-r1","scope_instances":[{"scope_id":"S1","scope":"station","source_revision_id":"B020-scope-r1"},{"scope_id":"SPAN-1","scope":"span","source_revision_id":"B020-scope-r1"},{"scope_id":"RIGHT","scope":"bar_end","source_revision_id":"B020-scope-r1"},{"scope_id":"MID","scope":"arrangement","source_revision_id":"B020-scope-r1"}],"depth_iterations":[{"iteration_number":1,"reinforcement_revision_id":"B020-reinforcement-r1","effective_depth_mm":440,"converged":true}]}</t>
  </si>
  <si>
    <t>{"profile_id":"ORDINARY-BEAM","project_basis_id":"beam_project_basis_id:pf4-canonical-json-v1:14b0493855f25ec337790bf76242c1d7f5bf9e1341d6039c6825d2dbbbc386d5","criteria_revision_id":"sample-detail-criteria-r1","member_id":"B020","physical_span_id":"SPAN-1","topology_revision_id":"B020-topology-r1","detail_revision_id":"B020-detail-r1","coordinate_system":{"datum_id":"B020-local","station_axis":"member_station_x","section_horizontal_axis":"section_x_from_left","section_vertical_axis":"section_y_from_top"},"member_start_x_mm":0,"member_end_x_mm":6000,"section_width_mm":300,"section_depth_mm":500,"longitudinal_paths":[{"bar_id":"B020-T1","bar_mark":"T16","role":"top_longitudinal","layer":1,"diameter_mm":16,"steel_grade_n_per_mm2":415,"nodes":[{"node_id":"B020-T1-1","point":{"station_x_mm":0,"section_x_from_left_mm":60,"section_y_from_top_mm":60},"bend_radius_mm":null,"bend_kind":null},{"node_id":"B020-T1-2","point":{"station_x_mm":6000,"section_x_from_left_mm":60,"section_y_from_top_mm":60},"bend_radius_mm":null,"bend_kind":null}],"closed":false,"bundle_size":1,"anchorage_requirement_ids":null,"splice_ids":[]},{"bar_id":"B020-T2","bar_mark":"T16","role":"top_longitudinal","layer":1,"diameter_mm":16,"steel_grade_n_per_mm2":415,"nodes":[{"node_id":"B020-T2-1","point":{"station_x_mm":0,"section_x_from_left_mm":240,"section_y_from_top_mm":60},"bend_radius_mm":null,"bend_kind":null},{"node_id":"B020-T2-2","point":{"station_x_mm":6000,"section_x_from_left_mm":240,"section_y_from_top_mm":60},"bend_radius_mm":null,"bend_kind":null}],"closed":false,"bundle_size":1,"anchorage_requirement_ids":null,"splice_ids":[]},{"bar_id":"B020-B1","bar_mark":"B20","role":"bottom_longitudinal","layer":1,"diameter_mm":20,"steel_grade_n_per_mm2":415,"nodes":[{"node_id":"B020-B1-1","point":{"station_x_mm":0,"section_x_from_left_mm":60,"section_y_from_top_mm":440},"bend_radius_mm":null,"bend_kind":null},{"node_id":"B020-B1-2","point":{"station_x_mm":6000,"section_x_from_left_mm":60,"section_y_from_top_mm":440},"bend_radius_mm":null,"bend_kind":null}],"closed":false,"bundle_size":1,"anchorage_requirement_ids":null,"splice_ids":["SP-1"]},{"bar_id":"B020-B2","bar_mark":"B20","role":"bottom_longitudinal","layer":1,"diameter_mm":20,"steel_grade_n_per_mm2":415,"nodes":[{"node_id":"B020-B2-1","point":{"station_x_mm":0,"section_x_from_left_mm":150,"section_y_from_top_mm":440},"bend_radius_mm":null,"bend_kind":null},{"node_id":"B020-B2-2","point":{"station_x_mm":6000,"section_x_from_left_mm":150,"section_y_from_top_mm":440},"bend_radius_mm":null,"bend_kind":null}],"closed":false,"bundle_size":1,"anchorage_requirement_ids":null,"splice_ids":["SP-1"]},{"bar_id":"B020-B3","bar_mark":"B20","role":"bottom_longitudinal","layer":1,"diameter_mm":20,"steel_grade_n_per_mm2":415,"nodes":[{"node_id":"B020-B3-1","point":{"station_x_mm":0,"section_x_from_left_mm":240,"section_y_from_top_mm":440},"bend_radius_mm":null,"bend_kind":null},{"node_id":"B020-B3-2","point":{"station_x_mm":6000,"section_x_from_left_mm":240,"section_y_from_top_mm":440},"bend_radius_mm":null,"bend_kind":null}],"closed":false,"bundle_size":1,"anchorage_requirement_ids":null,"splice_ids":[]}],"transverse_links":{"bar_mark":"L8","layer":1,"diameter_mm":8,"steel_grade_n_per_mm2":415,"start_station_x_mm":0,"end_station_x_mm":6000,"spacing_mm":150,"left_x_from_left_mm":29,"right_x_from_left_mm":271,"top_y_from_top_mm":29,"bottom_y_from_top_mm":471,"bend_radius_mm":16,"bend_kind":"standard_bend"},"stock_lengths_mm":[6000,9000,12000],"geometry_tolerance_mm":1E-06}</t>
  </si>
  <si>
    <t>{"profile_id":"ORDINARY-BEAM","project_basis_id":"beam_project_basis_id:pf4-canonical-json-v1:14b0493855f25ec337790bf76242c1d7f5bf9e1341d6039c6825d2dbbbc386d5","member_id":"B020","detail_revision_id":"B020-detail-r1","shape_convention":{"convention_id":"IS2502","revision_id":"sample-shape-r1","length_basis":"resolved_centreline_v1"},"stock_policy":{"policy_id":"SAMPLE-STOCK","revision_id":"sample-stock-r1","stock_lengths_mm":[6000,9000,12000],"kerf_mm":3,"reusable_offcut_min_mm":500,"allocation_method":"first_fit_decreasing_v1"},"steel_density_kg_per_m3":7850,"splice_records":[{"splice_id":"SP-1","kind":"lap","station_x_mm":3000,"qualification_reference":"is456.beam.lap_curtailment.check/v1","coupler_count":0}],"link_zones":[{"zone_id":"LINK-ZONE-1","bar_mark":"L8","start_station_x_mm":0,"end_station_x_mm":6000,"spacing_mm":150,"include_start":true,"include_end":true}],"station_tolerance_mm":1E-06}</t>
  </si>
  <si>
    <t>{"profile_id":"ORDINARY-BEAM","project_basis_id":"beam_project_basis_id:pf4-canonical-json-v1:14b0493855f25ec337790bf76242c1d7f5bf9e1341d6039c6825d2dbbbc386d5","member_id":"B020","detail_revision_id":"B020-detail-r1","concrete_overlap_policy_id":"beam-net-prism-v1","formwork_measurement_policy_id":"contact-face-v1","concrete_segments":[{"segment_id":"CONCRETE-1","member_id":"B020","material_id":"M25","ownership_id":"B020-concrete","cross_section_area_mm2":150000,"physical_length_mm":6000,"owns_monolithic_interface":false,"deductions":null}],"formwork_faces":[{"face_id":"SOFFIT","member_id":"B020","category":"soffit","ownership_id":"B020-soffit","gross_area_mm2":1800000,"measurement_state":"included","exclusion_reason":null,"deductions":null},{"face_id":"SIDE-L","member_id":"B020","category":"side_left","ownership_id":"B020-side-left","gross_area_mm2":3000000,"measurement_state":"included","exclusion_reason":null,"deductions":null},{"face_id":"SIDE-R","member_id":"B020","category":"side_right","ownership_id":"B020-side-right","gross_area_mm2":3000000,"measurement_state":"included","exclusion_reason":null,"deductions":null}]}</t>
  </si>
  <si>
    <t>{"profile_id":"ORDINARY-BEAM","project_basis_id":"beam_project_basis_id:pf4-canonical-json-v1:14b0493855f25ec337790bf76242c1d7f5bf9e1341d6039c6825d2dbbbc386d5","member_id":"B020","detail_revision_id":"B020-detail-r1","rate_profile":{"profile_id":"SAMPLE-RATES","revision_id":"sample-rates-r1","currency":"INR","valuation_date":"2026-09-04","time_zone":"Asia/Calcutta","geography":"Pune, Maharashtra","source":"Illustrative sample rates","scope":{"included_categories":["material","formwork"],"excluded_categories":["coupler","labour","plant"]},"rates":[{"rate_id":"steel","category":"material","basis":"steel_scheduled_mass_kg","description":"reinforcement","unit_rate_decimal":"70","source_reference":"sample steel rate"},{"rate_id":"concrete","category":"material","basis":"concrete_volume_m3","description":"M25 concrete","unit_rate_decimal":"7500","source_reference":"sample concrete rate"},{"rate_id":"formwork","category":"formwork","basis":"formwork_area_m2","description":"beam formwork","unit_rate_decimal":"900","source_reference":"sample formwork rate"}],"waste_pricing_basis":"scheduled_steel","overhead_percent_decimal":"10","tax_percent_decimal":"18"}}</t>
  </si>
  <si>
    <t>{"metadata":{"project_id":"SAMPLE-PROJECT","project_name":"Standalone ordinary RC beam design","project_revision_id":"sample-project-r1","member_id":"B020","package_revision_id":"B020-package-r1","engine_build":"StructuralEngineering.ExcelDna/0.1.0","dataset_revision_ids":["is456-wp01-v1","is456-wp02-v1","is456-wp04-v1","is456-amd6-wp05-v1","is13920-2016-amd2-wp05-v1"],"issued_at_utc":"2026-09-04T00:00:00Z"},"package_profile":{"profile_id":"SAMPLE-CALC-PACKAGE","revision_id":"sample-package-profile-r1","template_id":"beam-calculation-package-r1","required_leaf_ids":["flexure@B020","shear@S1","torsion@S1","deflection@SPAN-1","crack@S1","anchorage@RIGHT","lap@SPAN-1","seismic@B020","arrangement@MID"],"required_section_ids":["inputs","calculations","reinforcement","quantities","cost","drawings","signatures"]},"assumptions":["Actions are explicit sample design values in the stated local axes.","Costs are illustrative dated rates and are not a quotation."],"traces":[{"trace_id":"TRACE-01","leaf_id":"flexure@B020","rule_reference":"flexure","formula_reference":"native-operation-result/v1","normalized_substitution":"See the immutable operation request and result identity."},{"trace_id":"TRACE-02","leaf_id":"shear@S1","rule_reference":"shear","formula_reference":"native-operation-result/v1","normalized_substitution":"See the immutable operation request and result identity."},{"trace_id":"TRACE-03","leaf_id":"torsion@S1","rule_reference":"torsion","formula_reference":"native-operation-result/v1","normalized_substitution":"See the immutable operation request and result identity."},{"trace_id":"TRACE-04","leaf_id":"deflection@SPAN-1","rule_reference":"deflection","formula_reference":"native-operation-result/v1","normalized_substitution":"See the immutable operation request and result identity."},{"trace_id":"TRACE-05","leaf_id":"crack@S1","rule_reference":"crack","formula_reference":"native-operation-result/v1","normalized_substitution":"See the immutable operation request and result identity."},{"trace_id":"TRACE-06","leaf_id":"anchorage@RIGHT","rule_reference":"anchorage","formula_reference":"native-operation-result/v1","normalized_substitution":"See the immutable operation request and result identity."},{"trace_id":"TRACE-07","leaf_id":"lap@SPAN-1","rule_reference":"lap","formula_reference":"native-operation-result/v1","normalized_substitution":"See the immutable operation request and result identity."},{"trace_id":"TRACE-08","leaf_id":"seismic@B020","rule_reference":"seismic","formula_reference":"native-operation-result/v1","normalized_substitution":"See the immutable operation request and result identity."},{"trace_id":"TRACE-09","leaf_id":"arrangement@MID","rule_reference":"arrangement","formula_reference":"native-operation-result/v1","normalized_substitution":"See the immutable operation request and result identity."}],"drawings":[{"view_id":"B020-ELEV","kind":"beam_elevation","detail_revision_id":"B020-detail-r1","data":[{"datum_id":"B020-D1","source_identity":"B020","label":"span","value":"6000","unit":"mm"},{"datum_id":"B020-D2","source_identity":"B020-B1","label":"bottom bar mark","value":"B20","unit":null}]}],"limitations":["Ordinary rectangular single-span beam example; independent project review remains required."],"human_actions":null}</t>
  </si>
  <si>
    <t>{"search_id":"B020-search-r1","domain":{"domain_id":"B020-domain","revision_id":"sample-domain-r1","project_basis_id":"beam_project_basis_id:pf4-canonical-json-v1:14b0493855f25ec337790bf76242c1d7f5bf9e1341d6039c6825d2dbbbc386d5","profile_revision_id":"ordinary-beam-profile-r1","member_id":"B020","topology_revision_id":"B020-topology-r1","action_revision_id":"B020-actions-r1","design_scope_revision_id":"B020-scope-r1","baseline_analysis_revision_id":"B020-analysis-r1","baseline_section_choice_id":"R300X500","section_choices":[{"choice_id":"R300X500","width_mm":300,"overall_depth_mm":500,"concrete_strength_n_per_mm2":25,"additional_change_categories":null}],"longitudinal_choices":[{"choice_id":"L2T3B","top_bar_count":2,"top_bar_diameter_mm":16,"top_layer_count":1,"bottom_bar_count":3,"bottom_bar_diameter_mm":20,"bottom_layer_count":1,"steel_grade_n_per_mm2":415}],"transverse_choices":[{"choice_id":"L8-150","link_diameter_mm":8,"steel_grade_n_per_mm2":415,"legs":2,"spacing_mm":150}],"maximum_domain_candidates":1,"source_references":["Current sample beam detail"],"limitations":["Fixed action evaluation only."]},"objective_profile":{"profile_id":"COST-THEN-MASS","revision_id":"sample-objective-r1","objectives":["cost","steel_mass"],"tie_breakers":["lower_utilization","fewer_bar_marks","lower_section_depth","candidate_id"]},"evaluation_budget":1,"stop_reason":"completed"}</t>
  </si>
  <si>
    <t>row_id</t>
  </si>
  <si>
    <t>phase</t>
  </si>
  <si>
    <t>operation_semantic_id</t>
  </si>
  <si>
    <t>request_json</t>
  </si>
  <si>
    <t>rule_id</t>
  </si>
  <si>
    <t>scope_id</t>
  </si>
  <si>
    <t>check_scope</t>
  </si>
  <si>
    <t>expected_applicability</t>
  </si>
  <si>
    <t>code_data_binding_id</t>
  </si>
  <si>
    <t>topology</t>
  </si>
  <si>
    <t>structural.beam_topology.define/v1</t>
  </si>
  <si>
    <t>{"member_id":"B001","local_axes":{"axis_id":"B001-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</si>
  <si>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/>
  </si>
  <si>
    <t>flexure</t>
  </si>
  <si>
    <t>leaf</t>
  </si>
  <si>
    <t>is456.beam.flexure.check/v1</t>
  </si>
  <si>
    <t>{"capacity":{"profile_id":"IS456-WP01","section_kind":"rectangular","web_width_mm":300,"depth_mm":500,"concrete_strength_n_per_mm2":25,"steel_yield_strength_n_per_mm2":415,"bars":[{"bar_id":"B001-T1","diameter_mm":16,"x_from_left_mm":60,"y_from_top_mm":60,"face":"top","layer":1},{"bar_id":"B001-T2","diameter_mm":16,"x_from_left_mm":240,"y_from_top_mm":60,"face":"top","layer":1},{"bar_id":"B001-B1","diameter_mm":20,"x_from_left_mm":60,"y_from_top_mm":440,"face":"bottom","layer":1},{"bar_id":"B001-B2","diameter_mm":20,"x_from_left_mm":150,"y_from_top_mm":440,"face":"bottom","layer":1},{"bar_id":"B001-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</si>
  <si>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member</t>
  </si>
  <si>
    <t>applicable</t>
  </si>
  <si>
    <t>is456-flexure</t>
  </si>
  <si>
    <t>shear</t>
  </si>
  <si>
    <t>is456.beam.shear.check/v1</t>
  </si>
  <si>
    <t>{"capacities":[{"profile_id":"IS456-WP02","axis":"v2","resisting_width_mm":300,"effective_depth_mm":440,"concrete_strength_n_per_mm2":25,"longitudinal_tension_area_mm2":942.4777960769379,"link":{"link_id":"B001-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</si>
  <si>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S1</t>
  </si>
  <si>
    <t>station</t>
  </si>
  <si>
    <t>is456-shear</t>
  </si>
  <si>
    <t>torsion</t>
  </si>
  <si>
    <t>is456.beam.torsion.check/v1</t>
  </si>
  <si>
    <t>{"profile_id":"IS456-WP02","action":{"row_id":"B001-ULS-S1","station_id":"S1","action_basis":"static_concurrent","v2_kn":50,"v3_kn":0,"torsion_kn_m":3,"m2_kn_m":0,"m3_kn_m":50,"source_identity":"B001-actions-r1:ULS"},"flexural_capacity":{"profile_id":"IS456-WP01","section_kind":"rectangular","web_width_mm":300,"depth_mm":500,"concrete_strength_n_per_mm2":25,"steel_yield_strength_n_per_mm2":415,"bars":[{"bar_id":"B001-T1","diameter_mm":16,"x_from_left_mm":60,"y_from_top_mm":60,"face":"top","layer":1},{"bar_id":"B001-T2","diameter_mm":16,"x_from_left_mm":240,"y_from_top_mm":60,"face":"top","layer":1},{"bar_id":"B001-B1","diameter_mm":20,"x_from_left_mm":60,"y_from_top_mm":440,"face":"bottom","layer":1},{"bar_id":"B001-B2","diameter_mm":20,"x_from_left_mm":150,"y_from_top_mm":440,"face":"bottom","layer":1},{"bar_id":"B001-B3","diameter_mm":20,"x_from_left_mm":240,"y_from_top_mm":440,"face":"bottom","layer":1}],"tension_face":"bottom","flange_width_mm":null,"flange_thickness_mm":null,"axial_force_kn":0,"code_data_revision_id":"is456-wp01-v1"},"link":{"link_id":"B001-L8","diameter_mm":8,"legs_v2":2,"legs_v3":2,"spacing_mm":150,"steel_yield_strength_n_per_mm2":415,"closed":true,"centre_width_mm":242,"centre_depth_mm":442},"perimeter_bar_ids":["B001-T1","B001-T2","B001-B1","B001-B3"],"code_data_revision_id":"is456-wp02-v1"}</t>
  </si>
  <si>
    <t>deflection</t>
  </si>
  <si>
    <t>is456.beam.deflection.check/v1</t>
  </si>
  <si>
    <t>{"profile_id":"IS456-WP04","method":"calculated_components","screening":null,"calculated":{"service_action_snapshot_id":"B001-SLS-snapshot","total_service_action_row_ids":["B001-SLS-total"],"sustained_service_action_row_ids":["B001-SLS-sustained"],"analysis_result_id":"B001-analysis-SLS","reinforcement_revision_id":"B001-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</si>
  <si>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SPAN-1</t>
  </si>
  <si>
    <t>span</t>
  </si>
  <si>
    <t>is456-sls</t>
  </si>
  <si>
    <t>crack</t>
  </si>
  <si>
    <t>is456.beam.crack_width.check/v1</t>
  </si>
  <si>
    <t>{"profile_id":"IS456-WP04","member_id":"B001","station_id":"S1","service_action_row_id":"B001-SLS-service","reinforcement_revision_id":"B001-reinforcement-r1","section_width_mm":300,"section_depth_mm":500,"neutral_axis_depth_from_compression_face_mm":200,"tension_face":"bottom","bars":[{"bar_id":"B001-B1","diameter_mm":20,"x_from_left_mm":60,"y_from_top_mm":440,"face":"bottom","layer":1},{"bar_id":"B001-B2","diameter_mm":20,"x_from_left_mm":150,"y_from_top_mm":440,"face":"bottom","layer":1},{"bar_id":"B001-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</si>
  <si>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anchorage</t>
  </si>
  <si>
    <t>is456.beam.anchorage.check/v1</t>
  </si>
  <si>
    <t>{"profile_id":"IS456-WP05","member_id":"B001","reinforcement_revision_id":"B001-reinforcement-r1","paths":[{"bar_id":"B001-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001-ULS-right"]}}],"code_data_revision_id":"is456-amd6-wp05-v1"}</t>
  </si>
  <si>
    <t>RIGHT</t>
  </si>
  <si>
    <t>bar_end</t>
  </si>
  <si>
    <t>is456-detailing</t>
  </si>
  <si>
    <t>lap</t>
  </si>
  <si>
    <t>is456.beam.lap_curtailment.check/v1</t>
  </si>
  <si>
    <t>{"profile_id":"IS456-WP05","member_id":"B001","physical_span_id":"SPAN-1","demand_revision_id":"B001-actions-r1","reinforcement_revision_id":"B001-reinforcement-r1","member_start_x_mm":0,"member_end_x_mm":6000,"effective_depth_mm":440,"concrete_grade_n_per_mm2":25,"steel_yield_strength_n_per_mm2":415,"bar_surface":"deformed","bars":[{"bar_id":"B001-T1","bar_mark":"T16","role":"top_longitudinal","diameter_mm":16,"layer":1,"x_from_left_mm":60,"y_from_top_mm":60,"start_station_mm":0,"end_station_mm":6000,"design_stress_n_per_mm2":361.05,"bundle_size":1},{"bar_id":"B001-T2","bar_mark":"T16","role":"top_longitudinal","diameter_mm":16,"layer":1,"x_from_left_mm":240,"y_from_top_mm":60,"start_station_mm":0,"end_station_mm":6000,"design_stress_n_per_mm2":361.05,"bundle_size":1},{"bar_id":"B001-B1","bar_mark":"B20","role":"bottom_longitudinal","diameter_mm":20,"layer":1,"x_from_left_mm":60,"y_from_top_mm":440,"start_station_mm":0,"end_station_mm":6000,"design_stress_n_per_mm2":361.05,"bundle_size":1},{"bar_id":"B001-B2","bar_mark":"B20","role":"bottom_longitudinal","diameter_mm":20,"layer":1,"x_from_left_mm":150,"y_from_top_mm":440,"start_station_mm":0,"end_station_mm":6000,"design_stress_n_per_mm2":361.05,"bundle_size":1},{"bar_id":"B001-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001-ULS-S1"}],"splices":[{"splice_id":"SP-1","kind":"lap","bar_ids":["B001-B1","B001-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</si>
  <si>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seismic</t>
  </si>
  <si>
    <t>is456.beam.seismic_detailing.check/v1</t>
  </si>
  <si>
    <t>{"profile_id":"IS456-WP05","applicability":"ordinary_is456","context":null,"code_data_revision_id":"is13920-2016-amd2-wp05-v1"}</t>
  </si>
  <si>
    <t>not_applicable</t>
  </si>
  <si>
    <t>is13920-detailing</t>
  </si>
  <si>
    <t>arrangement</t>
  </si>
  <si>
    <t>structural.reinforcement_arrangement.check/v1</t>
  </si>
  <si>
    <t>{"profile_id":"IS456-WP05","member_id":"B001","station_id":"MID","reinforcement_revision_id":"B001-reinforcement-r1","section_width_mm":300,"section_depth_mm":500,"nominal_cover_mm":25,"maximum_aggregate_size_mm":20,"bars":[{"bar_id":"B001-T1","bar_mark":"T16","role":"top_longitudinal","diameter_mm":16,"layer":1,"x_from_left_mm":60,"y_from_top_mm":60,"start_station_mm":0,"end_station_mm":6000,"design_stress_n_per_mm2":361.05,"bundle_size":1},{"bar_id":"B001-T2","bar_mark":"T16","role":"top_longitudinal","diameter_mm":16,"layer":1,"x_from_left_mm":240,"y_from_top_mm":60,"start_station_mm":0,"end_station_mm":6000,"design_stress_n_per_mm2":361.05,"bundle_size":1},{"bar_id":"B001-B1","bar_mark":"B20","role":"bottom_longitudinal","diameter_mm":20,"layer":1,"x_from_left_mm":60,"y_from_top_mm":440,"start_station_mm":0,"end_station_mm":6000,"design_stress_n_per_mm2":361.05,"bundle_size":1},{"bar_id":"B001-B2","bar_mark":"B20","role":"bottom_longitudinal","diameter_mm":20,"layer":1,"x_from_left_mm":150,"y_from_top_mm":440,"start_station_mm":0,"end_station_mm":6000,"design_stress_n_per_mm2":361.05,"bundle_size":1},{"bar_id":"B001-B3","bar_mark":"B20","role":"bottom_longitudinal","diameter_mm":20,"layer":1,"x_from_left_mm":240,"y_from_top_mm":440,"start_station_mm":0,"end_station_mm":6000,"design_stress_n_per_mm2":361.05,"bundle_size":1}],"links":[{"link_id":"B001-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001-placement-r1"},"require_placement_plan":true,"code_data_revision_id":"is456-amd6-wp05-v1"}</t>
  </si>
  <si>
    <t>MID</t>
  </si>
  <si>
    <t>{"member_id":"B002","local_axes":{"axis_id":"B002-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</si>
  <si>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002-T1","diameter_mm":16,"x_from_left_mm":60,"y_from_top_mm":60,"face":"top","layer":1},{"bar_id":"B002-T2","diameter_mm":16,"x_from_left_mm":240,"y_from_top_mm":60,"face":"top","layer":1},{"bar_id":"B002-B1","diameter_mm":20,"x_from_left_mm":60,"y_from_top_mm":440,"face":"bottom","layer":1},{"bar_id":"B002-B2","diameter_mm":20,"x_from_left_mm":150,"y_from_top_mm":440,"face":"bottom","layer":1},{"bar_id":"B002-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</si>
  <si>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002-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</si>
  <si>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002-ULS-S1","station_id":"S1","action_basis":"static_concurrent","v2_kn":50,"v3_kn":0,"torsion_kn_m":3,"m2_kn_m":0,"m3_kn_m":50,"source_identity":"B002-actions-r1:ULS"},"flexural_capacity":{"profile_id":"IS456-WP01","section_kind":"rectangular","web_width_mm":300,"depth_mm":500,"concrete_strength_n_per_mm2":25,"steel_yield_strength_n_per_mm2":415,"bars":[{"bar_id":"B002-T1","diameter_mm":16,"x_from_left_mm":60,"y_from_top_mm":60,"face":"top","layer":1},{"bar_id":"B002-T2","diameter_mm":16,"x_from_left_mm":240,"y_from_top_mm":60,"face":"top","layer":1},{"bar_id":"B002-B1","diameter_mm":20,"x_from_left_mm":60,"y_from_top_mm":440,"face":"bottom","layer":1},{"bar_id":"B002-B2","diameter_mm":20,"x_from_left_mm":150,"y_from_top_mm":440,"face":"bottom","layer":1},{"bar_id":"B002-B3","diameter_mm":20,"x_from_left_mm":240,"y_from_top_mm":440,"face":"bottom","layer":1}],"tension_face":"bottom","flange_width_mm":null,"flange_thickness_mm":null,"axial_force_kn":0,"code_data_revision_id":"is456-wp01-v1"},"link":{"link_id":"B002-L8","diameter_mm":8,"legs_v2":2,"legs_v3":2,"spacing_mm":150,"steel_yield_strength_n_per_mm2":415,"closed":true,"centre_width_mm":242,"centre_depth_mm":442},"perimeter_bar_ids":["B002-T1","B002-T2","B002-B1","B002-B3"],"code_data_revision_id":"is456-wp02-v1"}</t>
  </si>
  <si>
    <t>{"profile_id":"IS456-WP04","method":"calculated_components","screening":null,"calculated":{"service_action_snapshot_id":"B002-SLS-snapshot","total_service_action_row_ids":["B002-SLS-total"],"sustained_service_action_row_ids":["B002-SLS-sustained"],"analysis_result_id":"B002-analysis-SLS","reinforcement_revision_id":"B002-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</si>
  <si>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002","station_id":"S1","service_action_row_id":"B002-SLS-service","reinforcement_revision_id":"B002-reinforcement-r1","section_width_mm":300,"section_depth_mm":500,"neutral_axis_depth_from_compression_face_mm":200,"tension_face":"bottom","bars":[{"bar_id":"B002-B1","diameter_mm":20,"x_from_left_mm":60,"y_from_top_mm":440,"face":"bottom","layer":1},{"bar_id":"B002-B2","diameter_mm":20,"x_from_left_mm":150,"y_from_top_mm":440,"face":"bottom","layer":1},{"bar_id":"B002-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</si>
  <si>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002","reinforcement_revision_id":"B002-reinforcement-r1","paths":[{"bar_id":"B002-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002-ULS-right"]}}],"code_data_revision_id":"is456-amd6-wp05-v1"}</t>
  </si>
  <si>
    <t>{"profile_id":"IS456-WP05","member_id":"B002","physical_span_id":"SPAN-1","demand_revision_id":"B002-actions-r1","reinforcement_revision_id":"B002-reinforcement-r1","member_start_x_mm":0,"member_end_x_mm":6000,"effective_depth_mm":440,"concrete_grade_n_per_mm2":25,"steel_yield_strength_n_per_mm2":415,"bar_surface":"deformed","bars":[{"bar_id":"B002-T1","bar_mark":"T16","role":"top_longitudinal","diameter_mm":16,"layer":1,"x_from_left_mm":60,"y_from_top_mm":60,"start_station_mm":0,"end_station_mm":6000,"design_stress_n_per_mm2":361.05,"bundle_size":1},{"bar_id":"B002-T2","bar_mark":"T16","role":"top_longitudinal","diameter_mm":16,"layer":1,"x_from_left_mm":240,"y_from_top_mm":60,"start_station_mm":0,"end_station_mm":6000,"design_stress_n_per_mm2":361.05,"bundle_size":1},{"bar_id":"B002-B1","bar_mark":"B20","role":"bottom_longitudinal","diameter_mm":20,"layer":1,"x_from_left_mm":60,"y_from_top_mm":440,"start_station_mm":0,"end_station_mm":6000,"design_stress_n_per_mm2":361.05,"bundle_size":1},{"bar_id":"B002-B2","bar_mark":"B20","role":"bottom_longitudinal","diameter_mm":20,"layer":1,"x_from_left_mm":150,"y_from_top_mm":440,"start_station_mm":0,"end_station_mm":6000,"design_stress_n_per_mm2":361.05,"bundle_size":1},{"bar_id":"B002-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002-ULS-S1"}],"splices":[{"splice_id":"SP-1","kind":"lap","bar_ids":["B002-B1","B002-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</si>
  <si>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002","station_id":"MID","reinforcement_revision_id":"B002-reinforcement-r1","section_width_mm":300,"section_depth_mm":500,"nominal_cover_mm":25,"maximum_aggregate_size_mm":20,"bars":[{"bar_id":"B002-T1","bar_mark":"T16","role":"top_longitudinal","diameter_mm":16,"layer":1,"x_from_left_mm":60,"y_from_top_mm":60,"start_station_mm":0,"end_station_mm":6000,"design_stress_n_per_mm2":361.05,"bundle_size":1},{"bar_id":"B002-T2","bar_mark":"T16","role":"top_longitudinal","diameter_mm":16,"layer":1,"x_from_left_mm":240,"y_from_top_mm":60,"start_station_mm":0,"end_station_mm":6000,"design_stress_n_per_mm2":361.05,"bundle_size":1},{"bar_id":"B002-B1","bar_mark":"B20","role":"bottom_longitudinal","diameter_mm":20,"layer":1,"x_from_left_mm":60,"y_from_top_mm":440,"start_station_mm":0,"end_station_mm":6000,"design_stress_n_per_mm2":361.05,"bundle_size":1},{"bar_id":"B002-B2","bar_mark":"B20","role":"bottom_longitudinal","diameter_mm":20,"layer":1,"x_from_left_mm":150,"y_from_top_mm":440,"start_station_mm":0,"end_station_mm":6000,"design_stress_n_per_mm2":361.05,"bundle_size":1},{"bar_id":"B002-B3","bar_mark":"B20","role":"bottom_longitudinal","diameter_mm":20,"layer":1,"x_from_left_mm":240,"y_from_top_mm":440,"start_station_mm":0,"end_station_mm":6000,"design_stress_n_per_mm2":361.05,"bundle_size":1}],"links":[{"link_id":"B002-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002-placement-r1"},"require_placement_plan":true,"code_data_revision_id":"is456-amd6-wp05-v1"}</t>
  </si>
  <si>
    <t>{"member_id":"B003","local_axes":{"axis_id":"B003-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</si>
  <si>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003-T1","diameter_mm":16,"x_from_left_mm":60,"y_from_top_mm":60,"face":"top","layer":1},{"bar_id":"B003-T2","diameter_mm":16,"x_from_left_mm":240,"y_from_top_mm":60,"face":"top","layer":1},{"bar_id":"B003-B1","diameter_mm":20,"x_from_left_mm":60,"y_from_top_mm":440,"face":"bottom","layer":1},{"bar_id":"B003-B2","diameter_mm":20,"x_from_left_mm":150,"y_from_top_mm":440,"face":"bottom","layer":1},{"bar_id":"B003-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</si>
  <si>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003-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</si>
  <si>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003-ULS-S1","station_id":"S1","action_basis":"static_concurrent","v2_kn":50,"v3_kn":0,"torsion_kn_m":3,"m2_kn_m":0,"m3_kn_m":50,"source_identity":"B003-actions-r1:ULS"},"flexural_capacity":{"profile_id":"IS456-WP01","section_kind":"rectangular","web_width_mm":300,"depth_mm":500,"concrete_strength_n_per_mm2":25,"steel_yield_strength_n_per_mm2":415,"bars":[{"bar_id":"B003-T1","diameter_mm":16,"x_from_left_mm":60,"y_from_top_mm":60,"face":"top","layer":1},{"bar_id":"B003-T2","diameter_mm":16,"x_from_left_mm":240,"y_from_top_mm":60,"face":"top","layer":1},{"bar_id":"B003-B1","diameter_mm":20,"x_from_left_mm":60,"y_from_top_mm":440,"face":"bottom","layer":1},{"bar_id":"B003-B2","diameter_mm":20,"x_from_left_mm":150,"y_from_top_mm":440,"face":"bottom","layer":1},{"bar_id":"B003-B3","diameter_mm":20,"x_from_left_mm":240,"y_from_top_mm":440,"face":"bottom","layer":1}],"tension_face":"bottom","flange_width_mm":null,"flange_thickness_mm":null,"axial_force_kn":0,"code_data_revision_id":"is456-wp01-v1"},"link":{"link_id":"B003-L8","diameter_mm":8,"legs_v2":2,"legs_v3":2,"spacing_mm":150,"steel_yield_strength_n_per_mm2":415,"closed":true,"centre_width_mm":242,"centre_depth_mm":442},"perimeter_bar_ids":["B003-T1","B003-T2","B003-B1","B003-B3"],"code_data_revision_id":"is456-wp02-v1"}</t>
  </si>
  <si>
    <t>{"profile_id":"IS456-WP04","method":"calculated_components","screening":null,"calculated":{"service_action_snapshot_id":"B003-SLS-snapshot","total_service_action_row_ids":["B003-SLS-total"],"sustained_service_action_row_ids":["B003-SLS-sustained"],"analysis_result_id":"B003-analysis-SLS","reinforcement_revision_id":"B003-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</si>
  <si>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003","station_id":"S1","service_action_row_id":"B003-SLS-service","reinforcement_revision_id":"B003-reinforcement-r1","section_width_mm":300,"section_depth_mm":500,"neutral_axis_depth_from_compression_face_mm":200,"tension_face":"bottom","bars":[{"bar_id":"B003-B1","diameter_mm":20,"x_from_left_mm":60,"y_from_top_mm":440,"face":"bottom","layer":1},{"bar_id":"B003-B2","diameter_mm":20,"x_from_left_mm":150,"y_from_top_mm":440,"face":"bottom","layer":1},{"bar_id":"B003-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</si>
  <si>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003","reinforcement_revision_id":"B003-reinforcement-r1","paths":[{"bar_id":"B003-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003-ULS-right"]}}],"code_data_revision_id":"is456-amd6-wp05-v1"}</t>
  </si>
  <si>
    <t>{"profile_id":"IS456-WP05","member_id":"B003","physical_span_id":"SPAN-1","demand_revision_id":"B003-actions-r1","reinforcement_revision_id":"B003-reinforcement-r1","member_start_x_mm":0,"member_end_x_mm":6000,"effective_depth_mm":440,"concrete_grade_n_per_mm2":25,"steel_yield_strength_n_per_mm2":415,"bar_surface":"deformed","bars":[{"bar_id":"B003-T1","bar_mark":"T16","role":"top_longitudinal","diameter_mm":16,"layer":1,"x_from_left_mm":60,"y_from_top_mm":60,"start_station_mm":0,"end_station_mm":6000,"design_stress_n_per_mm2":361.05,"bundle_size":1},{"bar_id":"B003-T2","bar_mark":"T16","role":"top_longitudinal","diameter_mm":16,"layer":1,"x_from_left_mm":240,"y_from_top_mm":60,"start_station_mm":0,"end_station_mm":6000,"design_stress_n_per_mm2":361.05,"bundle_size":1},{"bar_id":"B003-B1","bar_mark":"B20","role":"bottom_longitudinal","diameter_mm":20,"layer":1,"x_from_left_mm":60,"y_from_top_mm":440,"start_station_mm":0,"end_station_mm":6000,"design_stress_n_per_mm2":361.05,"bundle_size":1},{"bar_id":"B003-B2","bar_mark":"B20","role":"bottom_longitudinal","diameter_mm":20,"layer":1,"x_from_left_mm":150,"y_from_top_mm":440,"start_station_mm":0,"end_station_mm":6000,"design_stress_n_per_mm2":361.05,"bundle_size":1},{"bar_id":"B003-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003-ULS-S1"}],"splices":[{"splice_id":"SP-1","kind":"lap","bar_ids":["B003-B1","B003-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</si>
  <si>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003","station_id":"MID","reinforcement_revision_id":"B003-reinforcement-r1","section_width_mm":300,"section_depth_mm":500,"nominal_cover_mm":25,"maximum_aggregate_size_mm":20,"bars":[{"bar_id":"B003-T1","bar_mark":"T16","role":"top_longitudinal","diameter_mm":16,"layer":1,"x_from_left_mm":60,"y_from_top_mm":60,"start_station_mm":0,"end_station_mm":6000,"design_stress_n_per_mm2":361.05,"bundle_size":1},{"bar_id":"B003-T2","bar_mark":"T16","role":"top_longitudinal","diameter_mm":16,"layer":1,"x_from_left_mm":240,"y_from_top_mm":60,"start_station_mm":0,"end_station_mm":6000,"design_stress_n_per_mm2":361.05,"bundle_size":1},{"bar_id":"B003-B1","bar_mark":"B20","role":"bottom_longitudinal","diameter_mm":20,"layer":1,"x_from_left_mm":60,"y_from_top_mm":440,"start_station_mm":0,"end_station_mm":6000,"design_stress_n_per_mm2":361.05,"bundle_size":1},{"bar_id":"B003-B2","bar_mark":"B20","role":"bottom_longitudinal","diameter_mm":20,"layer":1,"x_from_left_mm":150,"y_from_top_mm":440,"start_station_mm":0,"end_station_mm":6000,"design_stress_n_per_mm2":361.05,"bundle_size":1},{"bar_id":"B003-B3","bar_mark":"B20","role":"bottom_longitudinal","diameter_mm":20,"layer":1,"x_from_left_mm":240,"y_from_top_mm":440,"start_station_mm":0,"end_station_mm":6000,"design_stress_n_per_mm2":361.05,"bundle_size":1}],"links":[{"link_id":"B003-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003-placement-r1"},"require_placement_plan":true,"code_data_revision_id":"is456-amd6-wp05-v1"}</t>
  </si>
  <si>
    <t>{"member_id":"B004","local_axes":{"axis_id":"B004-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</si>
  <si>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004-T1","diameter_mm":16,"x_from_left_mm":60,"y_from_top_mm":60,"face":"top","layer":1},{"bar_id":"B004-T2","diameter_mm":16,"x_from_left_mm":240,"y_from_top_mm":60,"face":"top","layer":1},{"bar_id":"B004-B1","diameter_mm":20,"x_from_left_mm":60,"y_from_top_mm":440,"face":"bottom","layer":1},{"bar_id":"B004-B2","diameter_mm":20,"x_from_left_mm":150,"y_from_top_mm":440,"face":"bottom","layer":1},{"bar_id":"B004-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</si>
  <si>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004-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</si>
  <si>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004-ULS-S1","station_id":"S1","action_basis":"static_concurrent","v2_kn":50,"v3_kn":0,"torsion_kn_m":3,"m2_kn_m":0,"m3_kn_m":50,"source_identity":"B004-actions-r1:ULS"},"flexural_capacity":{"profile_id":"IS456-WP01","section_kind":"rectangular","web_width_mm":300,"depth_mm":500,"concrete_strength_n_per_mm2":25,"steel_yield_strength_n_per_mm2":415,"bars":[{"bar_id":"B004-T1","diameter_mm":16,"x_from_left_mm":60,"y_from_top_mm":60,"face":"top","layer":1},{"bar_id":"B004-T2","diameter_mm":16,"x_from_left_mm":240,"y_from_top_mm":60,"face":"top","layer":1},{"bar_id":"B004-B1","diameter_mm":20,"x_from_left_mm":60,"y_from_top_mm":440,"face":"bottom","layer":1},{"bar_id":"B004-B2","diameter_mm":20,"x_from_left_mm":150,"y_from_top_mm":440,"face":"bottom","layer":1},{"bar_id":"B004-B3","diameter_mm":20,"x_from_left_mm":240,"y_from_top_mm":440,"face":"bottom","layer":1}],"tension_face":"bottom","flange_width_mm":null,"flange_thickness_mm":null,"axial_force_kn":0,"code_data_revision_id":"is456-wp01-v1"},"link":{"link_id":"B004-L8","diameter_mm":8,"legs_v2":2,"legs_v3":2,"spacing_mm":150,"steel_yield_strength_n_per_mm2":415,"closed":true,"centre_width_mm":242,"centre_depth_mm":442},"perimeter_bar_ids":["B004-T1","B004-T2","B004-B1","B004-B3"],"code_data_revision_id":"is456-wp02-v1"}</t>
  </si>
  <si>
    <t>{"profile_id":"IS456-WP04","method":"calculated_components","screening":null,"calculated":{"service_action_snapshot_id":"B004-SLS-snapshot","total_service_action_row_ids":["B004-SLS-total"],"sustained_service_action_row_ids":["B004-SLS-sustained"],"analysis_result_id":"B004-analysis-SLS","reinforcement_revision_id":"B004-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</si>
  <si>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004","station_id":"S1","service_action_row_id":"B004-SLS-service","reinforcement_revision_id":"B004-reinforcement-r1","section_width_mm":300,"section_depth_mm":500,"neutral_axis_depth_from_compression_face_mm":200,"tension_face":"bottom","bars":[{"bar_id":"B004-B1","diameter_mm":20,"x_from_left_mm":60,"y_from_top_mm":440,"face":"bottom","layer":1},{"bar_id":"B004-B2","diameter_mm":20,"x_from_left_mm":150,"y_from_top_mm":440,"face":"bottom","layer":1},{"bar_id":"B004-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</si>
  <si>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004","reinforcement_revision_id":"B004-reinforcement-r1","paths":[{"bar_id":"B004-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004-ULS-right"]}}],"code_data_revision_id":"is456-amd6-wp05-v1"}</t>
  </si>
  <si>
    <t>{"profile_id":"IS456-WP05","member_id":"B004","physical_span_id":"SPAN-1","demand_revision_id":"B004-actions-r1","reinforcement_revision_id":"B004-reinforcement-r1","member_start_x_mm":0,"member_end_x_mm":6000,"effective_depth_mm":440,"concrete_grade_n_per_mm2":25,"steel_yield_strength_n_per_mm2":415,"bar_surface":"deformed","bars":[{"bar_id":"B004-T1","bar_mark":"T16","role":"top_longitudinal","diameter_mm":16,"layer":1,"x_from_left_mm":60,"y_from_top_mm":60,"start_station_mm":0,"end_station_mm":6000,"design_stress_n_per_mm2":361.05,"bundle_size":1},{"bar_id":"B004-T2","bar_mark":"T16","role":"top_longitudinal","diameter_mm":16,"layer":1,"x_from_left_mm":240,"y_from_top_mm":60,"start_station_mm":0,"end_station_mm":6000,"design_stress_n_per_mm2":361.05,"bundle_size":1},{"bar_id":"B004-B1","bar_mark":"B20","role":"bottom_longitudinal","diameter_mm":20,"layer":1,"x_from_left_mm":60,"y_from_top_mm":440,"start_station_mm":0,"end_station_mm":6000,"design_stress_n_per_mm2":361.05,"bundle_size":1},{"bar_id":"B004-B2","bar_mark":"B20","role":"bottom_longitudinal","diameter_mm":20,"layer":1,"x_from_left_mm":150,"y_from_top_mm":440,"start_station_mm":0,"end_station_mm":6000,"design_stress_n_per_mm2":361.05,"bundle_size":1},{"bar_id":"B004-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004-ULS-S1"}],"splices":[{"splice_id":"SP-1","kind":"lap","bar_ids":["B004-B1","B004-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</si>
  <si>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004","station_id":"MID","reinforcement_revision_id":"B004-reinforcement-r1","section_width_mm":300,"section_depth_mm":500,"nominal_cover_mm":25,"maximum_aggregate_size_mm":20,"bars":[{"bar_id":"B004-T1","bar_mark":"T16","role":"top_longitudinal","diameter_mm":16,"layer":1,"x_from_left_mm":60,"y_from_top_mm":60,"start_station_mm":0,"end_station_mm":6000,"design_stress_n_per_mm2":361.05,"bundle_size":1},{"bar_id":"B004-T2","bar_mark":"T16","role":"top_longitudinal","diameter_mm":16,"layer":1,"x_from_left_mm":240,"y_from_top_mm":60,"start_station_mm":0,"end_station_mm":6000,"design_stress_n_per_mm2":361.05,"bundle_size":1},{"bar_id":"B004-B1","bar_mark":"B20","role":"bottom_longitudinal","diameter_mm":20,"layer":1,"x_from_left_mm":60,"y_from_top_mm":440,"start_station_mm":0,"end_station_mm":6000,"design_stress_n_per_mm2":361.05,"bundle_size":1},{"bar_id":"B004-B2","bar_mark":"B20","role":"bottom_longitudinal","diameter_mm":20,"layer":1,"x_from_left_mm":150,"y_from_top_mm":440,"start_station_mm":0,"end_station_mm":6000,"design_stress_n_per_mm2":361.05,"bundle_size":1},{"bar_id":"B004-B3","bar_mark":"B20","role":"bottom_longitudinal","diameter_mm":20,"layer":1,"x_from_left_mm":240,"y_from_top_mm":440,"start_station_mm":0,"end_station_mm":6000,"design_stress_n_per_mm2":361.05,"bundle_size":1}],"links":[{"link_id":"B004-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004-placement-r1"},"require_placement_plan":true,"code_data_revision_id":"is456-amd6-wp05-v1"}</t>
  </si>
  <si>
    <t>{"member_id":"B005","local_axes":{"axis_id":"B005-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</si>
  <si>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005-T1","diameter_mm":16,"x_from_left_mm":60,"y_from_top_mm":60,"face":"top","layer":1},{"bar_id":"B005-T2","diameter_mm":16,"x_from_left_mm":240,"y_from_top_mm":60,"face":"top","layer":1},{"bar_id":"B005-B1","diameter_mm":20,"x_from_left_mm":60,"y_from_top_mm":440,"face":"bottom","layer":1},{"bar_id":"B005-B2","diameter_mm":20,"x_from_left_mm":150,"y_from_top_mm":440,"face":"bottom","layer":1},{"bar_id":"B005-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</si>
  <si>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005-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</si>
  <si>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005-ULS-S1","station_id":"S1","action_basis":"static_concurrent","v2_kn":50,"v3_kn":0,"torsion_kn_m":3,"m2_kn_m":0,"m3_kn_m":50,"source_identity":"B005-actions-r1:ULS"},"flexural_capacity":{"profile_id":"IS456-WP01","section_kind":"rectangular","web_width_mm":300,"depth_mm":500,"concrete_strength_n_per_mm2":25,"steel_yield_strength_n_per_mm2":415,"bars":[{"bar_id":"B005-T1","diameter_mm":16,"x_from_left_mm":60,"y_from_top_mm":60,"face":"top","layer":1},{"bar_id":"B005-T2","diameter_mm":16,"x_from_left_mm":240,"y_from_top_mm":60,"face":"top","layer":1},{"bar_id":"B005-B1","diameter_mm":20,"x_from_left_mm":60,"y_from_top_mm":440,"face":"bottom","layer":1},{"bar_id":"B005-B2","diameter_mm":20,"x_from_left_mm":150,"y_from_top_mm":440,"face":"bottom","layer":1},{"bar_id":"B005-B3","diameter_mm":20,"x_from_left_mm":240,"y_from_top_mm":440,"face":"bottom","layer":1}],"tension_face":"bottom","flange_width_mm":null,"flange_thickness_mm":null,"axial_force_kn":0,"code_data_revision_id":"is456-wp01-v1"},"link":{"link_id":"B005-L8","diameter_mm":8,"legs_v2":2,"legs_v3":2,"spacing_mm":150,"steel_yield_strength_n_per_mm2":415,"closed":true,"centre_width_mm":242,"centre_depth_mm":442},"perimeter_bar_ids":["B005-T1","B005-T2","B005-B1","B005-B3"],"code_data_revision_id":"is456-wp02-v1"}</t>
  </si>
  <si>
    <t>{"profile_id":"IS456-WP04","method":"calculated_components","screening":null,"calculated":{"service_action_snapshot_id":"B005-SLS-snapshot","total_service_action_row_ids":["B005-SLS-total"],"sustained_service_action_row_ids":["B005-SLS-sustained"],"analysis_result_id":"B005-analysis-SLS","reinforcement_revision_id":"B005-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</si>
  <si>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005","station_id":"S1","service_action_row_id":"B005-SLS-service","reinforcement_revision_id":"B005-reinforcement-r1","section_width_mm":300,"section_depth_mm":500,"neutral_axis_depth_from_compression_face_mm":200,"tension_face":"bottom","bars":[{"bar_id":"B005-B1","diameter_mm":20,"x_from_left_mm":60,"y_from_top_mm":440,"face":"bottom","layer":1},{"bar_id":"B005-B2","diameter_mm":20,"x_from_left_mm":150,"y_from_top_mm":440,"face":"bottom","layer":1},{"bar_id":"B005-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</si>
  <si>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005","reinforcement_revision_id":"B005-reinforcement-r1","paths":[{"bar_id":"B005-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005-ULS-right"]}}],"code_data_revision_id":"is456-amd6-wp05-v1"}</t>
  </si>
  <si>
    <t>{"profile_id":"IS456-WP05","member_id":"B005","physical_span_id":"SPAN-1","demand_revision_id":"B005-actions-r1","reinforcement_revision_id":"B005-reinforcement-r1","member_start_x_mm":0,"member_end_x_mm":6000,"effective_depth_mm":440,"concrete_grade_n_per_mm2":25,"steel_yield_strength_n_per_mm2":415,"bar_surface":"deformed","bars":[{"bar_id":"B005-T1","bar_mark":"T16","role":"top_longitudinal","diameter_mm":16,"layer":1,"x_from_left_mm":60,"y_from_top_mm":60,"start_station_mm":0,"end_station_mm":6000,"design_stress_n_per_mm2":361.05,"bundle_size":1},{"bar_id":"B005-T2","bar_mark":"T16","role":"top_longitudinal","diameter_mm":16,"layer":1,"x_from_left_mm":240,"y_from_top_mm":60,"start_station_mm":0,"end_station_mm":6000,"design_stress_n_per_mm2":361.05,"bundle_size":1},{"bar_id":"B005-B1","bar_mark":"B20","role":"bottom_longitudinal","diameter_mm":20,"layer":1,"x_from_left_mm":60,"y_from_top_mm":440,"start_station_mm":0,"end_station_mm":6000,"design_stress_n_per_mm2":361.05,"bundle_size":1},{"bar_id":"B005-B2","bar_mark":"B20","role":"bottom_longitudinal","diameter_mm":20,"layer":1,"x_from_left_mm":150,"y_from_top_mm":440,"start_station_mm":0,"end_station_mm":6000,"design_stress_n_per_mm2":361.05,"bundle_size":1},{"bar_id":"B005-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005-ULS-S1"}],"splices":[{"splice_id":"SP-1","kind":"lap","bar_ids":["B005-B1","B005-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</si>
  <si>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005","station_id":"MID","reinforcement_revision_id":"B005-reinforcement-r1","section_width_mm":300,"section_depth_mm":500,"nominal_cover_mm":25,"maximum_aggregate_size_mm":20,"bars":[{"bar_id":"B005-T1","bar_mark":"T16","role":"top_longitudinal","diameter_mm":16,"layer":1,"x_from_left_mm":60,"y_from_top_mm":60,"start_station_mm":0,"end_station_mm":6000,"design_stress_n_per_mm2":361.05,"bundle_size":1},{"bar_id":"B005-T2","bar_mark":"T16","role":"top_longitudinal","diameter_mm":16,"layer":1,"x_from_left_mm":240,"y_from_top_mm":60,"start_station_mm":0,"end_station_mm":6000,"design_stress_n_per_mm2":361.05,"bundle_size":1},{"bar_id":"B005-B1","bar_mark":"B20","role":"bottom_longitudinal","diameter_mm":20,"layer":1,"x_from_left_mm":60,"y_from_top_mm":440,"start_station_mm":0,"end_station_mm":6000,"design_stress_n_per_mm2":361.05,"bundle_size":1},{"bar_id":"B005-B2","bar_mark":"B20","role":"bottom_longitudinal","diameter_mm":20,"layer":1,"x_from_left_mm":150,"y_from_top_mm":440,"start_station_mm":0,"end_station_mm":6000,"design_stress_n_per_mm2":361.05,"bundle_size":1},{"bar_id":"B005-B3","bar_mark":"B20","role":"bottom_longitudinal","diameter_mm":20,"layer":1,"x_from_left_mm":240,"y_from_top_mm":440,"start_station_mm":0,"end_station_mm":6000,"design_stress_n_per_mm2":361.05,"bundle_size":1}],"links":[{"link_id":"B005-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005-placement-r1"},"require_placement_plan":true,"code_data_revision_id":"is456-amd6-wp05-v1"}</t>
  </si>
  <si>
    <t>{"member_id":"B006","local_axes":{"axis_id":"B006-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</si>
  <si>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006-T1","diameter_mm":16,"x_from_left_mm":60,"y_from_top_mm":60,"face":"top","layer":1},{"bar_id":"B006-T2","diameter_mm":16,"x_from_left_mm":240,"y_from_top_mm":60,"face":"top","layer":1},{"bar_id":"B006-B1","diameter_mm":20,"x_from_left_mm":60,"y_from_top_mm":440,"face":"bottom","layer":1},{"bar_id":"B006-B2","diameter_mm":20,"x_from_left_mm":150,"y_from_top_mm":440,"face":"bottom","layer":1},{"bar_id":"B006-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</si>
  <si>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006-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</si>
  <si>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006-ULS-S1","station_id":"S1","action_basis":"static_concurrent","v2_kn":50,"v3_kn":0,"torsion_kn_m":3,"m2_kn_m":0,"m3_kn_m":50,"source_identity":"B006-actions-r1:ULS"},"flexural_capacity":{"profile_id":"IS456-WP01","section_kind":"rectangular","web_width_mm":300,"depth_mm":500,"concrete_strength_n_per_mm2":25,"steel_yield_strength_n_per_mm2":415,"bars":[{"bar_id":"B006-T1","diameter_mm":16,"x_from_left_mm":60,"y_from_top_mm":60,"face":"top","layer":1},{"bar_id":"B006-T2","diameter_mm":16,"x_from_left_mm":240,"y_from_top_mm":60,"face":"top","layer":1},{"bar_id":"B006-B1","diameter_mm":20,"x_from_left_mm":60,"y_from_top_mm":440,"face":"bottom","layer":1},{"bar_id":"B006-B2","diameter_mm":20,"x_from_left_mm":150,"y_from_top_mm":440,"face":"bottom","layer":1},{"bar_id":"B006-B3","diameter_mm":20,"x_from_left_mm":240,"y_from_top_mm":440,"face":"bottom","layer":1}],"tension_face":"bottom","flange_width_mm":null,"flange_thickness_mm":null,"axial_force_kn":0,"code_data_revision_id":"is456-wp01-v1"},"link":{"link_id":"B006-L8","diameter_mm":8,"legs_v2":2,"legs_v3":2,"spacing_mm":150,"steel_yield_strength_n_per_mm2":415,"closed":true,"centre_width_mm":242,"centre_depth_mm":442},"perimeter_bar_ids":["B006-T1","B006-T2","B006-B1","B006-B3"],"code_data_revision_id":"is456-wp02-v1"}</t>
  </si>
  <si>
    <t>{"profile_id":"IS456-WP04","method":"calculated_components","screening":null,"calculated":{"service_action_snapshot_id":"B006-SLS-snapshot","total_service_action_row_ids":["B006-SLS-total"],"sustained_service_action_row_ids":["B006-SLS-sustained"],"analysis_result_id":"B006-analysis-SLS","reinforcement_revision_id":"B006-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</si>
  <si>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006","station_id":"S1","service_action_row_id":"B006-SLS-service","reinforcement_revision_id":"B006-reinforcement-r1","section_width_mm":300,"section_depth_mm":500,"neutral_axis_depth_from_compression_face_mm":200,"tension_face":"bottom","bars":[{"bar_id":"B006-B1","diameter_mm":20,"x_from_left_mm":60,"y_from_top_mm":440,"face":"bottom","layer":1},{"bar_id":"B006-B2","diameter_mm":20,"x_from_left_mm":150,"y_from_top_mm":440,"face":"bottom","layer":1},{"bar_id":"B006-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</si>
  <si>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006","reinforcement_revision_id":"B006-reinforcement-r1","paths":[{"bar_id":"B006-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006-ULS-right"]}}],"code_data_revision_id":"is456-amd6-wp05-v1"}</t>
  </si>
  <si>
    <t>{"profile_id":"IS456-WP05","member_id":"B006","physical_span_id":"SPAN-1","demand_revision_id":"B006-actions-r1","reinforcement_revision_id":"B006-reinforcement-r1","member_start_x_mm":0,"member_end_x_mm":6000,"effective_depth_mm":440,"concrete_grade_n_per_mm2":25,"steel_yield_strength_n_per_mm2":415,"bar_surface":"deformed","bars":[{"bar_id":"B006-T1","bar_mark":"T16","role":"top_longitudinal","diameter_mm":16,"layer":1,"x_from_left_mm":60,"y_from_top_mm":60,"start_station_mm":0,"end_station_mm":6000,"design_stress_n_per_mm2":361.05,"bundle_size":1},{"bar_id":"B006-T2","bar_mark":"T16","role":"top_longitudinal","diameter_mm":16,"layer":1,"x_from_left_mm":240,"y_from_top_mm":60,"start_station_mm":0,"end_station_mm":6000,"design_stress_n_per_mm2":361.05,"bundle_size":1},{"bar_id":"B006-B1","bar_mark":"B20","role":"bottom_longitudinal","diameter_mm":20,"layer":1,"x_from_left_mm":60,"y_from_top_mm":440,"start_station_mm":0,"end_station_mm":6000,"design_stress_n_per_mm2":361.05,"bundle_size":1},{"bar_id":"B006-B2","bar_mark":"B20","role":"bottom_longitudinal","diameter_mm":20,"layer":1,"x_from_left_mm":150,"y_from_top_mm":440,"start_station_mm":0,"end_station_mm":6000,"design_stress_n_per_mm2":361.05,"bundle_size":1},{"bar_id":"B006-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006-ULS-S1"}],"splices":[{"splice_id":"SP-1","kind":"lap","bar_ids":["B006-B1","B006-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</si>
  <si>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006","station_id":"MID","reinforcement_revision_id":"B006-reinforcement-r1","section_width_mm":300,"section_depth_mm":500,"nominal_cover_mm":25,"maximum_aggregate_size_mm":20,"bars":[{"bar_id":"B006-T1","bar_mark":"T16","role":"top_longitudinal","diameter_mm":16,"layer":1,"x_from_left_mm":60,"y_from_top_mm":60,"start_station_mm":0,"end_station_mm":6000,"design_stress_n_per_mm2":361.05,"bundle_size":1},{"bar_id":"B006-T2","bar_mark":"T16","role":"top_longitudinal","diameter_mm":16,"layer":1,"x_from_left_mm":240,"y_from_top_mm":60,"start_station_mm":0,"end_station_mm":6000,"design_stress_n_per_mm2":361.05,"bundle_size":1},{"bar_id":"B006-B1","bar_mark":"B20","role":"bottom_longitudinal","diameter_mm":20,"layer":1,"x_from_left_mm":60,"y_from_top_mm":440,"start_station_mm":0,"end_station_mm":6000,"design_stress_n_per_mm2":361.05,"bundle_size":1},{"bar_id":"B006-B2","bar_mark":"B20","role":"bottom_longitudinal","diameter_mm":20,"layer":1,"x_from_left_mm":150,"y_from_top_mm":440,"start_station_mm":0,"end_station_mm":6000,"design_stress_n_per_mm2":361.05,"bundle_size":1},{"bar_id":"B006-B3","bar_mark":"B20","role":"bottom_longitudinal","diameter_mm":20,"layer":1,"x_from_left_mm":240,"y_from_top_mm":440,"start_station_mm":0,"end_station_mm":6000,"design_stress_n_per_mm2":361.05,"bundle_size":1}],"links":[{"link_id":"B006-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006-placement-r1"},"require_placement_plan":true,"code_data_revision_id":"is456-amd6-wp05-v1"}</t>
  </si>
  <si>
    <t>{"member_id":"B007","local_axes":{"axis_id":"B007-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</si>
  <si>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007-T1","diameter_mm":16,"x_from_left_mm":60,"y_from_top_mm":60,"face":"top","layer":1},{"bar_id":"B007-T2","diameter_mm":16,"x_from_left_mm":240,"y_from_top_mm":60,"face":"top","layer":1},{"bar_id":"B007-B1","diameter_mm":20,"x_from_left_mm":60,"y_from_top_mm":440,"face":"bottom","layer":1},{"bar_id":"B007-B2","diameter_mm":20,"x_from_left_mm":150,"y_from_top_mm":440,"face":"bottom","layer":1},{"bar_id":"B007-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</si>
  <si>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007-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</si>
  <si>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007-ULS-S1","station_id":"S1","action_basis":"static_concurrent","v2_kn":50,"v3_kn":0,"torsion_kn_m":3,"m2_kn_m":0,"m3_kn_m":50,"source_identity":"B007-actions-r1:ULS"},"flexural_capacity":{"profile_id":"IS456-WP01","section_kind":"rectangular","web_width_mm":300,"depth_mm":500,"concrete_strength_n_per_mm2":25,"steel_yield_strength_n_per_mm2":415,"bars":[{"bar_id":"B007-T1","diameter_mm":16,"x_from_left_mm":60,"y_from_top_mm":60,"face":"top","layer":1},{"bar_id":"B007-T2","diameter_mm":16,"x_from_left_mm":240,"y_from_top_mm":60,"face":"top","layer":1},{"bar_id":"B007-B1","diameter_mm":20,"x_from_left_mm":60,"y_from_top_mm":440,"face":"bottom","layer":1},{"bar_id":"B007-B2","diameter_mm":20,"x_from_left_mm":150,"y_from_top_mm":440,"face":"bottom","layer":1},{"bar_id":"B007-B3","diameter_mm":20,"x_from_left_mm":240,"y_from_top_mm":440,"face":"bottom","layer":1}],"tension_face":"bottom","flange_width_mm":null,"flange_thickness_mm":null,"axial_force_kn":0,"code_data_revision_id":"is456-wp01-v1"},"link":{"link_id":"B007-L8","diameter_mm":8,"legs_v2":2,"legs_v3":2,"spacing_mm":150,"steel_yield_strength_n_per_mm2":415,"closed":true,"centre_width_mm":242,"centre_depth_mm":442},"perimeter_bar_ids":["B007-T1","B007-T2","B007-B1","B007-B3"],"code_data_revision_id":"is456-wp02-v1"}</t>
  </si>
  <si>
    <t>{"profile_id":"IS456-WP04","method":"calculated_components","screening":null,"calculated":{"service_action_snapshot_id":"B007-SLS-snapshot","total_service_action_row_ids":["B007-SLS-total"],"sustained_service_action_row_ids":["B007-SLS-sustained"],"analysis_result_id":"B007-analysis-SLS","reinforcement_revision_id":"B007-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</si>
  <si>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007","station_id":"S1","service_action_row_id":"B007-SLS-service","reinforcement_revision_id":"B007-reinforcement-r1","section_width_mm":300,"section_depth_mm":500,"neutral_axis_depth_from_compression_face_mm":200,"tension_face":"bottom","bars":[{"bar_id":"B007-B1","diameter_mm":20,"x_from_left_mm":60,"y_from_top_mm":440,"face":"bottom","layer":1},{"bar_id":"B007-B2","diameter_mm":20,"x_from_left_mm":150,"y_from_top_mm":440,"face":"bottom","layer":1},{"bar_id":"B007-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</si>
  <si>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007","reinforcement_revision_id":"B007-reinforcement-r1","paths":[{"bar_id":"B007-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007-ULS-right"]}}],"code_data_revision_id":"is456-amd6-wp05-v1"}</t>
  </si>
  <si>
    <t>{"profile_id":"IS456-WP05","member_id":"B007","physical_span_id":"SPAN-1","demand_revision_id":"B007-actions-r1","reinforcement_revision_id":"B007-reinforcement-r1","member_start_x_mm":0,"member_end_x_mm":6000,"effective_depth_mm":440,"concrete_grade_n_per_mm2":25,"steel_yield_strength_n_per_mm2":415,"bar_surface":"deformed","bars":[{"bar_id":"B007-T1","bar_mark":"T16","role":"top_longitudinal","diameter_mm":16,"layer":1,"x_from_left_mm":60,"y_from_top_mm":60,"start_station_mm":0,"end_station_mm":6000,"design_stress_n_per_mm2":361.05,"bundle_size":1},{"bar_id":"B007-T2","bar_mark":"T16","role":"top_longitudinal","diameter_mm":16,"layer":1,"x_from_left_mm":240,"y_from_top_mm":60,"start_station_mm":0,"end_station_mm":6000,"design_stress_n_per_mm2":361.05,"bundle_size":1},{"bar_id":"B007-B1","bar_mark":"B20","role":"bottom_longitudinal","diameter_mm":20,"layer":1,"x_from_left_mm":60,"y_from_top_mm":440,"start_station_mm":0,"end_station_mm":6000,"design_stress_n_per_mm2":361.05,"bundle_size":1},{"bar_id":"B007-B2","bar_mark":"B20","role":"bottom_longitudinal","diameter_mm":20,"layer":1,"x_from_left_mm":150,"y_from_top_mm":440,"start_station_mm":0,"end_station_mm":6000,"design_stress_n_per_mm2":361.05,"bundle_size":1},{"bar_id":"B007-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007-ULS-S1"}],"splices":[{"splice_id":"SP-1","kind":"lap","bar_ids":["B007-B1","B007-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</si>
  <si>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007","station_id":"MID","reinforcement_revision_id":"B007-reinforcement-r1","section_width_mm":300,"section_depth_mm":500,"nominal_cover_mm":25,"maximum_aggregate_size_mm":20,"bars":[{"bar_id":"B007-T1","bar_mark":"T16","role":"top_longitudinal","diameter_mm":16,"layer":1,"x_from_left_mm":60,"y_from_top_mm":60,"start_station_mm":0,"end_station_mm":6000,"design_stress_n_per_mm2":361.05,"bundle_size":1},{"bar_id":"B007-T2","bar_mark":"T16","role":"top_longitudinal","diameter_mm":16,"layer":1,"x_from_left_mm":240,"y_from_top_mm":60,"start_station_mm":0,"end_station_mm":6000,"design_stress_n_per_mm2":361.05,"bundle_size":1},{"bar_id":"B007-B1","bar_mark":"B20","role":"bottom_longitudinal","diameter_mm":20,"layer":1,"x_from_left_mm":60,"y_from_top_mm":440,"start_station_mm":0,"end_station_mm":6000,"design_stress_n_per_mm2":361.05,"bundle_size":1},{"bar_id":"B007-B2","bar_mark":"B20","role":"bottom_longitudinal","diameter_mm":20,"layer":1,"x_from_left_mm":150,"y_from_top_mm":440,"start_station_mm":0,"end_station_mm":6000,"design_stress_n_per_mm2":361.05,"bundle_size":1},{"bar_id":"B007-B3","bar_mark":"B20","role":"bottom_longitudinal","diameter_mm":20,"layer":1,"x_from_left_mm":240,"y_from_top_mm":440,"start_station_mm":0,"end_station_mm":6000,"design_stress_n_per_mm2":361.05,"bundle_size":1}],"links":[{"link_id":"B007-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007-placement-r1"},"require_placement_plan":true,"code_data_revision_id":"is456-amd6-wp05-v1"}</t>
  </si>
  <si>
    <t>{"member_id":"B008","local_axes":{"axis_id":"B008-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</si>
  <si>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008-T1","diameter_mm":16,"x_from_left_mm":60,"y_from_top_mm":60,"face":"top","layer":1},{"bar_id":"B008-T2","diameter_mm":16,"x_from_left_mm":240,"y_from_top_mm":60,"face":"top","layer":1},{"bar_id":"B008-B1","diameter_mm":20,"x_from_left_mm":60,"y_from_top_mm":440,"face":"bottom","layer":1},{"bar_id":"B008-B2","diameter_mm":20,"x_from_left_mm":150,"y_from_top_mm":440,"face":"bottom","layer":1},{"bar_id":"B008-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</si>
  <si>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008-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</si>
  <si>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008-ULS-S1","station_id":"S1","action_basis":"static_concurrent","v2_kn":50,"v3_kn":0,"torsion_kn_m":3,"m2_kn_m":0,"m3_kn_m":50,"source_identity":"B008-actions-r1:ULS"},"flexural_capacity":{"profile_id":"IS456-WP01","section_kind":"rectangular","web_width_mm":300,"depth_mm":500,"concrete_strength_n_per_mm2":25,"steel_yield_strength_n_per_mm2":415,"bars":[{"bar_id":"B008-T1","diameter_mm":16,"x_from_left_mm":60,"y_from_top_mm":60,"face":"top","layer":1},{"bar_id":"B008-T2","diameter_mm":16,"x_from_left_mm":240,"y_from_top_mm":60,"face":"top","layer":1},{"bar_id":"B008-B1","diameter_mm":20,"x_from_left_mm":60,"y_from_top_mm":440,"face":"bottom","layer":1},{"bar_id":"B008-B2","diameter_mm":20,"x_from_left_mm":150,"y_from_top_mm":440,"face":"bottom","layer":1},{"bar_id":"B008-B3","diameter_mm":20,"x_from_left_mm":240,"y_from_top_mm":440,"face":"bottom","layer":1}],"tension_face":"bottom","flange_width_mm":null,"flange_thickness_mm":null,"axial_force_kn":0,"code_data_revision_id":"is456-wp01-v1"},"link":{"link_id":"B008-L8","diameter_mm":8,"legs_v2":2,"legs_v3":2,"spacing_mm":150,"steel_yield_strength_n_per_mm2":415,"closed":true,"centre_width_mm":242,"centre_depth_mm":442},"perimeter_bar_ids":["B008-T1","B008-T2","B008-B1","B008-B3"],"code_data_revision_id":"is456-wp02-v1"}</t>
  </si>
  <si>
    <t>{"profile_id":"IS456-WP04","method":"calculated_components","screening":null,"calculated":{"service_action_snapshot_id":"B008-SLS-snapshot","total_service_action_row_ids":["B008-SLS-total"],"sustained_service_action_row_ids":["B008-SLS-sustained"],"analysis_result_id":"B008-analysis-SLS","reinforcement_revision_id":"B008-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</si>
  <si>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008","station_id":"S1","service_action_row_id":"B008-SLS-service","reinforcement_revision_id":"B008-reinforcement-r1","section_width_mm":300,"section_depth_mm":500,"neutral_axis_depth_from_compression_face_mm":200,"tension_face":"bottom","bars":[{"bar_id":"B008-B1","diameter_mm":20,"x_from_left_mm":60,"y_from_top_mm":440,"face":"bottom","layer":1},{"bar_id":"B008-B2","diameter_mm":20,"x_from_left_mm":150,"y_from_top_mm":440,"face":"bottom","layer":1},{"bar_id":"B008-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</si>
  <si>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008","reinforcement_revision_id":"B008-reinforcement-r1","paths":[{"bar_id":"B008-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008-ULS-right"]}}],"code_data_revision_id":"is456-amd6-wp05-v1"}</t>
  </si>
  <si>
    <t>{"profile_id":"IS456-WP05","member_id":"B008","physical_span_id":"SPAN-1","demand_revision_id":"B008-actions-r1","reinforcement_revision_id":"B008-reinforcement-r1","member_start_x_mm":0,"member_end_x_mm":6000,"effective_depth_mm":440,"concrete_grade_n_per_mm2":25,"steel_yield_strength_n_per_mm2":415,"bar_surface":"deformed","bars":[{"bar_id":"B008-T1","bar_mark":"T16","role":"top_longitudinal","diameter_mm":16,"layer":1,"x_from_left_mm":60,"y_from_top_mm":60,"start_station_mm":0,"end_station_mm":6000,"design_stress_n_per_mm2":361.05,"bundle_size":1},{"bar_id":"B008-T2","bar_mark":"T16","role":"top_longitudinal","diameter_mm":16,"layer":1,"x_from_left_mm":240,"y_from_top_mm":60,"start_station_mm":0,"end_station_mm":6000,"design_stress_n_per_mm2":361.05,"bundle_size":1},{"bar_id":"B008-B1","bar_mark":"B20","role":"bottom_longitudinal","diameter_mm":20,"layer":1,"x_from_left_mm":60,"y_from_top_mm":440,"start_station_mm":0,"end_station_mm":6000,"design_stress_n_per_mm2":361.05,"bundle_size":1},{"bar_id":"B008-B2","bar_mark":"B20","role":"bottom_longitudinal","diameter_mm":20,"layer":1,"x_from_left_mm":150,"y_from_top_mm":440,"start_station_mm":0,"end_station_mm":6000,"design_stress_n_per_mm2":361.05,"bundle_size":1},{"bar_id":"B008-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008-ULS-S1"}],"splices":[{"splice_id":"SP-1","kind":"lap","bar_ids":["B008-B1","B008-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</si>
  <si>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008","station_id":"MID","reinforcement_revision_id":"B008-reinforcement-r1","section_width_mm":300,"section_depth_mm":500,"nominal_cover_mm":25,"maximum_aggregate_size_mm":20,"bars":[{"bar_id":"B008-T1","bar_mark":"T16","role":"top_longitudinal","diameter_mm":16,"layer":1,"x_from_left_mm":60,"y_from_top_mm":60,"start_station_mm":0,"end_station_mm":6000,"design_stress_n_per_mm2":361.05,"bundle_size":1},{"bar_id":"B008-T2","bar_mark":"T16","role":"top_longitudinal","diameter_mm":16,"layer":1,"x_from_left_mm":240,"y_from_top_mm":60,"start_station_mm":0,"end_station_mm":6000,"design_stress_n_per_mm2":361.05,"bundle_size":1},{"bar_id":"B008-B1","bar_mark":"B20","role":"bottom_longitudinal","diameter_mm":20,"layer":1,"x_from_left_mm":60,"y_from_top_mm":440,"start_station_mm":0,"end_station_mm":6000,"design_stress_n_per_mm2":361.05,"bundle_size":1},{"bar_id":"B008-B2","bar_mark":"B20","role":"bottom_longitudinal","diameter_mm":20,"layer":1,"x_from_left_mm":150,"y_from_top_mm":440,"start_station_mm":0,"end_station_mm":6000,"design_stress_n_per_mm2":361.05,"bundle_size":1},{"bar_id":"B008-B3","bar_mark":"B20","role":"bottom_longitudinal","diameter_mm":20,"layer":1,"x_from_left_mm":240,"y_from_top_mm":440,"start_station_mm":0,"end_station_mm":6000,"design_stress_n_per_mm2":361.05,"bundle_size":1}],"links":[{"link_id":"B008-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008-placement-r1"},"require_placement_plan":true,"code_data_revision_id":"is456-amd6-wp05-v1"}</t>
  </si>
  <si>
    <t>{"member_id":"B009","local_axes":{"axis_id":"B009-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</si>
  <si>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009-T1","diameter_mm":16,"x_from_left_mm":60,"y_from_top_mm":60,"face":"top","layer":1},{"bar_id":"B009-T2","diameter_mm":16,"x_from_left_mm":240,"y_from_top_mm":60,"face":"top","layer":1},{"bar_id":"B009-B1","diameter_mm":20,"x_from_left_mm":60,"y_from_top_mm":440,"face":"bottom","layer":1},{"bar_id":"B009-B2","diameter_mm":20,"x_from_left_mm":150,"y_from_top_mm":440,"face":"bottom","layer":1},{"bar_id":"B009-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</si>
  <si>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009-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</si>
  <si>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009-ULS-S1","station_id":"S1","action_basis":"static_concurrent","v2_kn":50,"v3_kn":0,"torsion_kn_m":3,"m2_kn_m":0,"m3_kn_m":50,"source_identity":"B009-actions-r1:ULS"},"flexural_capacity":{"profile_id":"IS456-WP01","section_kind":"rectangular","web_width_mm":300,"depth_mm":500,"concrete_strength_n_per_mm2":25,"steel_yield_strength_n_per_mm2":415,"bars":[{"bar_id":"B009-T1","diameter_mm":16,"x_from_left_mm":60,"y_from_top_mm":60,"face":"top","layer":1},{"bar_id":"B009-T2","diameter_mm":16,"x_from_left_mm":240,"y_from_top_mm":60,"face":"top","layer":1},{"bar_id":"B009-B1","diameter_mm":20,"x_from_left_mm":60,"y_from_top_mm":440,"face":"bottom","layer":1},{"bar_id":"B009-B2","diameter_mm":20,"x_from_left_mm":150,"y_from_top_mm":440,"face":"bottom","layer":1},{"bar_id":"B009-B3","diameter_mm":20,"x_from_left_mm":240,"y_from_top_mm":440,"face":"bottom","layer":1}],"tension_face":"bottom","flange_width_mm":null,"flange_thickness_mm":null,"axial_force_kn":0,"code_data_revision_id":"is456-wp01-v1"},"link":{"link_id":"B009-L8","diameter_mm":8,"legs_v2":2,"legs_v3":2,"spacing_mm":150,"steel_yield_strength_n_per_mm2":415,"closed":true,"centre_width_mm":242,"centre_depth_mm":442},"perimeter_bar_ids":["B009-T1","B009-T2","B009-B1","B009-B3"],"code_data_revision_id":"is456-wp02-v1"}</t>
  </si>
  <si>
    <t>{"profile_id":"IS456-WP04","method":"calculated_components","screening":null,"calculated":{"service_action_snapshot_id":"B009-SLS-snapshot","total_service_action_row_ids":["B009-SLS-total"],"sustained_service_action_row_ids":["B009-SLS-sustained"],"analysis_result_id":"B009-analysis-SLS","reinforcement_revision_id":"B009-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</si>
  <si>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009","station_id":"S1","service_action_row_id":"B009-SLS-service","reinforcement_revision_id":"B009-reinforcement-r1","section_width_mm":300,"section_depth_mm":500,"neutral_axis_depth_from_compression_face_mm":200,"tension_face":"bottom","bars":[{"bar_id":"B009-B1","diameter_mm":20,"x_from_left_mm":60,"y_from_top_mm":440,"face":"bottom","layer":1},{"bar_id":"B009-B2","diameter_mm":20,"x_from_left_mm":150,"y_from_top_mm":440,"face":"bottom","layer":1},{"bar_id":"B009-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</si>
  <si>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009","reinforcement_revision_id":"B009-reinforcement-r1","paths":[{"bar_id":"B009-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009-ULS-right"]}}],"code_data_revision_id":"is456-amd6-wp05-v1"}</t>
  </si>
  <si>
    <t>{"profile_id":"IS456-WP05","member_id":"B009","physical_span_id":"SPAN-1","demand_revision_id":"B009-actions-r1","reinforcement_revision_id":"B009-reinforcement-r1","member_start_x_mm":0,"member_end_x_mm":6000,"effective_depth_mm":440,"concrete_grade_n_per_mm2":25,"steel_yield_strength_n_per_mm2":415,"bar_surface":"deformed","bars":[{"bar_id":"B009-T1","bar_mark":"T16","role":"top_longitudinal","diameter_mm":16,"layer":1,"x_from_left_mm":60,"y_from_top_mm":60,"start_station_mm":0,"end_station_mm":6000,"design_stress_n_per_mm2":361.05,"bundle_size":1},{"bar_id":"B009-T2","bar_mark":"T16","role":"top_longitudinal","diameter_mm":16,"layer":1,"x_from_left_mm":240,"y_from_top_mm":60,"start_station_mm":0,"end_station_mm":6000,"design_stress_n_per_mm2":361.05,"bundle_size":1},{"bar_id":"B009-B1","bar_mark":"B20","role":"bottom_longitudinal","diameter_mm":20,"layer":1,"x_from_left_mm":60,"y_from_top_mm":440,"start_station_mm":0,"end_station_mm":6000,"design_stress_n_per_mm2":361.05,"bundle_size":1},{"bar_id":"B009-B2","bar_mark":"B20","role":"bottom_longitudinal","diameter_mm":20,"layer":1,"x_from_left_mm":150,"y_from_top_mm":440,"start_station_mm":0,"end_station_mm":6000,"design_stress_n_per_mm2":361.05,"bundle_size":1},{"bar_id":"B009-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009-ULS-S1"}],"splices":[{"splice_id":"SP-1","kind":"lap","bar_ids":["B009-B1","B009-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</si>
  <si>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009","station_id":"MID","reinforcement_revision_id":"B009-reinforcement-r1","section_width_mm":300,"section_depth_mm":500,"nominal_cover_mm":25,"maximum_aggregate_size_mm":20,"bars":[{"bar_id":"B009-T1","bar_mark":"T16","role":"top_longitudinal","diameter_mm":16,"layer":1,"x_from_left_mm":60,"y_from_top_mm":60,"start_station_mm":0,"end_station_mm":6000,"design_stress_n_per_mm2":361.05,"bundle_size":1},{"bar_id":"B009-T2","bar_mark":"T16","role":"top_longitudinal","diameter_mm":16,"layer":1,"x_from_left_mm":240,"y_from_top_mm":60,"start_station_mm":0,"end_station_mm":6000,"design_stress_n_per_mm2":361.05,"bundle_size":1},{"bar_id":"B009-B1","bar_mark":"B20","role":"bottom_longitudinal","diameter_mm":20,"layer":1,"x_from_left_mm":60,"y_from_top_mm":440,"start_station_mm":0,"end_station_mm":6000,"design_stress_n_per_mm2":361.05,"bundle_size":1},{"bar_id":"B009-B2","bar_mark":"B20","role":"bottom_longitudinal","diameter_mm":20,"layer":1,"x_from_left_mm":150,"y_from_top_mm":440,"start_station_mm":0,"end_station_mm":6000,"design_stress_n_per_mm2":361.05,"bundle_size":1},{"bar_id":"B009-B3","bar_mark":"B20","role":"bottom_longitudinal","diameter_mm":20,"layer":1,"x_from_left_mm":240,"y_from_top_mm":440,"start_station_mm":0,"end_station_mm":6000,"design_stress_n_per_mm2":361.05,"bundle_size":1}],"links":[{"link_id":"B009-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009-placement-r1"},"require_placement_plan":true,"code_data_revision_id":"is456-amd6-wp05-v1"}</t>
  </si>
  <si>
    <t>{"member_id":"B010","local_axes":{"axis_id":"B010-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</si>
  <si>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010-T1","diameter_mm":16,"x_from_left_mm":60,"y_from_top_mm":60,"face":"top","layer":1},{"bar_id":"B010-T2","diameter_mm":16,"x_from_left_mm":240,"y_from_top_mm":60,"face":"top","layer":1},{"bar_id":"B010-B1","diameter_mm":20,"x_from_left_mm":60,"y_from_top_mm":440,"face":"bottom","layer":1},{"bar_id":"B010-B2","diameter_mm":20,"x_from_left_mm":150,"y_from_top_mm":440,"face":"bottom","layer":1},{"bar_id":"B010-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</si>
  <si>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010-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</si>
  <si>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010-ULS-S1","station_id":"S1","action_basis":"static_concurrent","v2_kn":50,"v3_kn":0,"torsion_kn_m":3,"m2_kn_m":0,"m3_kn_m":50,"source_identity":"B010-actions-r1:ULS"},"flexural_capacity":{"profile_id":"IS456-WP01","section_kind":"rectangular","web_width_mm":300,"depth_mm":500,"concrete_strength_n_per_mm2":25,"steel_yield_strength_n_per_mm2":415,"bars":[{"bar_id":"B010-T1","diameter_mm":16,"x_from_left_mm":60,"y_from_top_mm":60,"face":"top","layer":1},{"bar_id":"B010-T2","diameter_mm":16,"x_from_left_mm":240,"y_from_top_mm":60,"face":"top","layer":1},{"bar_id":"B010-B1","diameter_mm":20,"x_from_left_mm":60,"y_from_top_mm":440,"face":"bottom","layer":1},{"bar_id":"B010-B2","diameter_mm":20,"x_from_left_mm":150,"y_from_top_mm":440,"face":"bottom","layer":1},{"bar_id":"B010-B3","diameter_mm":20,"x_from_left_mm":240,"y_from_top_mm":440,"face":"bottom","layer":1}],"tension_face":"bottom","flange_width_mm":null,"flange_thickness_mm":null,"axial_force_kn":0,"code_data_revision_id":"is456-wp01-v1"},"link":{"link_id":"B010-L8","diameter_mm":8,"legs_v2":2,"legs_v3":2,"spacing_mm":150,"steel_yield_strength_n_per_mm2":415,"closed":true,"centre_width_mm":242,"centre_depth_mm":442},"perimeter_bar_ids":["B010-T1","B010-T2","B010-B1","B010-B3"],"code_data_revision_id":"is456-wp02-v1"}</t>
  </si>
  <si>
    <t>{"profile_id":"IS456-WP04","method":"calculated_components","screening":null,"calculated":{"service_action_snapshot_id":"B010-SLS-snapshot","total_service_action_row_ids":["B010-SLS-total"],"sustained_service_action_row_ids":["B010-SLS-sustained"],"analysis_result_id":"B010-analysis-SLS","reinforcement_revision_id":"B010-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</si>
  <si>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010","station_id":"S1","service_action_row_id":"B010-SLS-service","reinforcement_revision_id":"B010-reinforcement-r1","section_width_mm":300,"section_depth_mm":500,"neutral_axis_depth_from_compression_face_mm":200,"tension_face":"bottom","bars":[{"bar_id":"B010-B1","diameter_mm":20,"x_from_left_mm":60,"y_from_top_mm":440,"face":"bottom","layer":1},{"bar_id":"B010-B2","diameter_mm":20,"x_from_left_mm":150,"y_from_top_mm":440,"face":"bottom","layer":1},{"bar_id":"B010-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</si>
  <si>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010","reinforcement_revision_id":"B010-reinforcement-r1","paths":[{"bar_id":"B010-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010-ULS-right"]}}],"code_data_revision_id":"is456-amd6-wp05-v1"}</t>
  </si>
  <si>
    <t>{"profile_id":"IS456-WP05","member_id":"B010","physical_span_id":"SPAN-1","demand_revision_id":"B010-actions-r1","reinforcement_revision_id":"B010-reinforcement-r1","member_start_x_mm":0,"member_end_x_mm":6000,"effective_depth_mm":440,"concrete_grade_n_per_mm2":25,"steel_yield_strength_n_per_mm2":415,"bar_surface":"deformed","bars":[{"bar_id":"B010-T1","bar_mark":"T16","role":"top_longitudinal","diameter_mm":16,"layer":1,"x_from_left_mm":60,"y_from_top_mm":60,"start_station_mm":0,"end_station_mm":6000,"design_stress_n_per_mm2":361.05,"bundle_size":1},{"bar_id":"B010-T2","bar_mark":"T16","role":"top_longitudinal","diameter_mm":16,"layer":1,"x_from_left_mm":240,"y_from_top_mm":60,"start_station_mm":0,"end_station_mm":6000,"design_stress_n_per_mm2":361.05,"bundle_size":1},{"bar_id":"B010-B1","bar_mark":"B20","role":"bottom_longitudinal","diameter_mm":20,"layer":1,"x_from_left_mm":60,"y_from_top_mm":440,"start_station_mm":0,"end_station_mm":6000,"design_stress_n_per_mm2":361.05,"bundle_size":1},{"bar_id":"B010-B2","bar_mark":"B20","role":"bottom_longitudinal","diameter_mm":20,"layer":1,"x_from_left_mm":150,"y_from_top_mm":440,"start_station_mm":0,"end_station_mm":6000,"design_stress_n_per_mm2":361.05,"bundle_size":1},{"bar_id":"B010-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010-ULS-S1"}],"splices":[{"splice_id":"SP-1","kind":"lap","bar_ids":["B010-B1","B010-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</si>
  <si>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010","station_id":"MID","reinforcement_revision_id":"B010-reinforcement-r1","section_width_mm":300,"section_depth_mm":500,"nominal_cover_mm":25,"maximum_aggregate_size_mm":20,"bars":[{"bar_id":"B010-T1","bar_mark":"T16","role":"top_longitudinal","diameter_mm":16,"layer":1,"x_from_left_mm":60,"y_from_top_mm":60,"start_station_mm":0,"end_station_mm":6000,"design_stress_n_per_mm2":361.05,"bundle_size":1},{"bar_id":"B010-T2","bar_mark":"T16","role":"top_longitudinal","diameter_mm":16,"layer":1,"x_from_left_mm":240,"y_from_top_mm":60,"start_station_mm":0,"end_station_mm":6000,"design_stress_n_per_mm2":361.05,"bundle_size":1},{"bar_id":"B010-B1","bar_mark":"B20","role":"bottom_longitudinal","diameter_mm":20,"layer":1,"x_from_left_mm":60,"y_from_top_mm":440,"start_station_mm":0,"end_station_mm":6000,"design_stress_n_per_mm2":361.05,"bundle_size":1},{"bar_id":"B010-B2","bar_mark":"B20","role":"bottom_longitudinal","diameter_mm":20,"layer":1,"x_from_left_mm":150,"y_from_top_mm":440,"start_station_mm":0,"end_station_mm":6000,"design_stress_n_per_mm2":361.05,"bundle_size":1},{"bar_id":"B010-B3","bar_mark":"B20","role":"bottom_longitudinal","diameter_mm":20,"layer":1,"x_from_left_mm":240,"y_from_top_mm":440,"start_station_mm":0,"end_station_mm":6000,"design_stress_n_per_mm2":361.05,"bundle_size":1}],"links":[{"link_id":"B010-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010-placement-r1"},"require_placement_plan":true,"code_data_revision_id":"is456-amd6-wp05-v1"}</t>
  </si>
  <si>
    <t>{"member_id":"B011","local_axes":{"axis_id":"B011-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</si>
  <si>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011-T1","diameter_mm":16,"x_from_left_mm":60,"y_from_top_mm":60,"face":"top","layer":1},{"bar_id":"B011-T2","diameter_mm":16,"x_from_left_mm":240,"y_from_top_mm":60,"face":"top","layer":1},{"bar_id":"B011-B1","diameter_mm":20,"x_from_left_mm":60,"y_from_top_mm":440,"face":"bottom","layer":1},{"bar_id":"B011-B2","diameter_mm":20,"x_from_left_mm":150,"y_from_top_mm":440,"face":"bottom","layer":1},{"bar_id":"B011-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</si>
  <si>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011-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</si>
  <si>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011-ULS-S1","station_id":"S1","action_basis":"static_concurrent","v2_kn":50,"v3_kn":0,"torsion_kn_m":3,"m2_kn_m":0,"m3_kn_m":50,"source_identity":"B011-actions-r1:ULS"},"flexural_capacity":{"profile_id":"IS456-WP01","section_kind":"rectangular","web_width_mm":300,"depth_mm":500,"concrete_strength_n_per_mm2":25,"steel_yield_strength_n_per_mm2":415,"bars":[{"bar_id":"B011-T1","diameter_mm":16,"x_from_left_mm":60,"y_from_top_mm":60,"face":"top","layer":1},{"bar_id":"B011-T2","diameter_mm":16,"x_from_left_mm":240,"y_from_top_mm":60,"face":"top","layer":1},{"bar_id":"B011-B1","diameter_mm":20,"x_from_left_mm":60,"y_from_top_mm":440,"face":"bottom","layer":1},{"bar_id":"B011-B2","diameter_mm":20,"x_from_left_mm":150,"y_from_top_mm":440,"face":"bottom","layer":1},{"bar_id":"B011-B3","diameter_mm":20,"x_from_left_mm":240,"y_from_top_mm":440,"face":"bottom","layer":1}],"tension_face":"bottom","flange_width_mm":null,"flange_thickness_mm":null,"axial_force_kn":0,"code_data_revision_id":"is456-wp01-v1"},"link":{"link_id":"B011-L8","diameter_mm":8,"legs_v2":2,"legs_v3":2,"spacing_mm":150,"steel_yield_strength_n_per_mm2":415,"closed":true,"centre_width_mm":242,"centre_depth_mm":442},"perimeter_bar_ids":["B011-T1","B011-T2","B011-B1","B011-B3"],"code_data_revision_id":"is456-wp02-v1"}</t>
  </si>
  <si>
    <t>{"profile_id":"IS456-WP04","method":"calculated_components","screening":null,"calculated":{"service_action_snapshot_id":"B011-SLS-snapshot","total_service_action_row_ids":["B011-SLS-total"],"sustained_service_action_row_ids":["B011-SLS-sustained"],"analysis_result_id":"B011-analysis-SLS","reinforcement_revision_id":"B011-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</si>
  <si>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011","station_id":"S1","service_action_row_id":"B011-SLS-service","reinforcement_revision_id":"B011-reinforcement-r1","section_width_mm":300,"section_depth_mm":500,"neutral_axis_depth_from_compression_face_mm":200,"tension_face":"bottom","bars":[{"bar_id":"B011-B1","diameter_mm":20,"x_from_left_mm":60,"y_from_top_mm":440,"face":"bottom","layer":1},{"bar_id":"B011-B2","diameter_mm":20,"x_from_left_mm":150,"y_from_top_mm":440,"face":"bottom","layer":1},{"bar_id":"B011-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</si>
  <si>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011","reinforcement_revision_id":"B011-reinforcement-r1","paths":[{"bar_id":"B011-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011-ULS-right"]}}],"code_data_revision_id":"is456-amd6-wp05-v1"}</t>
  </si>
  <si>
    <t>{"profile_id":"IS456-WP05","member_id":"B011","physical_span_id":"SPAN-1","demand_revision_id":"B011-actions-r1","reinforcement_revision_id":"B011-reinforcement-r1","member_start_x_mm":0,"member_end_x_mm":6000,"effective_depth_mm":440,"concrete_grade_n_per_mm2":25,"steel_yield_strength_n_per_mm2":415,"bar_surface":"deformed","bars":[{"bar_id":"B011-T1","bar_mark":"T16","role":"top_longitudinal","diameter_mm":16,"layer":1,"x_from_left_mm":60,"y_from_top_mm":60,"start_station_mm":0,"end_station_mm":6000,"design_stress_n_per_mm2":361.05,"bundle_size":1},{"bar_id":"B011-T2","bar_mark":"T16","role":"top_longitudinal","diameter_mm":16,"layer":1,"x_from_left_mm":240,"y_from_top_mm":60,"start_station_mm":0,"end_station_mm":6000,"design_stress_n_per_mm2":361.05,"bundle_size":1},{"bar_id":"B011-B1","bar_mark":"B20","role":"bottom_longitudinal","diameter_mm":20,"layer":1,"x_from_left_mm":60,"y_from_top_mm":440,"start_station_mm":0,"end_station_mm":6000,"design_stress_n_per_mm2":361.05,"bundle_size":1},{"bar_id":"B011-B2","bar_mark":"B20","role":"bottom_longitudinal","diameter_mm":20,"layer":1,"x_from_left_mm":150,"y_from_top_mm":440,"start_station_mm":0,"end_station_mm":6000,"design_stress_n_per_mm2":361.05,"bundle_size":1},{"bar_id":"B011-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011-ULS-S1"}],"splices":[{"splice_id":"SP-1","kind":"lap","bar_ids":["B011-B1","B011-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</si>
  <si>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011","station_id":"MID","reinforcement_revision_id":"B011-reinforcement-r1","section_width_mm":300,"section_depth_mm":500,"nominal_cover_mm":25,"maximum_aggregate_size_mm":20,"bars":[{"bar_id":"B011-T1","bar_mark":"T16","role":"top_longitudinal","diameter_mm":16,"layer":1,"x_from_left_mm":60,"y_from_top_mm":60,"start_station_mm":0,"end_station_mm":6000,"design_stress_n_per_mm2":361.05,"bundle_size":1},{"bar_id":"B011-T2","bar_mark":"T16","role":"top_longitudinal","diameter_mm":16,"layer":1,"x_from_left_mm":240,"y_from_top_mm":60,"start_station_mm":0,"end_station_mm":6000,"design_stress_n_per_mm2":361.05,"bundle_size":1},{"bar_id":"B011-B1","bar_mark":"B20","role":"bottom_longitudinal","diameter_mm":20,"layer":1,"x_from_left_mm":60,"y_from_top_mm":440,"start_station_mm":0,"end_station_mm":6000,"design_stress_n_per_mm2":361.05,"bundle_size":1},{"bar_id":"B011-B2","bar_mark":"B20","role":"bottom_longitudinal","diameter_mm":20,"layer":1,"x_from_left_mm":150,"y_from_top_mm":440,"start_station_mm":0,"end_station_mm":6000,"design_stress_n_per_mm2":361.05,"bundle_size":1},{"bar_id":"B011-B3","bar_mark":"B20","role":"bottom_longitudinal","diameter_mm":20,"layer":1,"x_from_left_mm":240,"y_from_top_mm":440,"start_station_mm":0,"end_station_mm":6000,"design_stress_n_per_mm2":361.05,"bundle_size":1}],"links":[{"link_id":"B011-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011-placement-r1"},"require_placement_plan":true,"code_data_revision_id":"is456-amd6-wp05-v1"}</t>
  </si>
  <si>
    <t>{"member_id":"B012","local_axes":{"axis_id":"B012-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</si>
  <si>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012-T1","diameter_mm":16,"x_from_left_mm":60,"y_from_top_mm":60,"face":"top","layer":1},{"bar_id":"B012-T2","diameter_mm":16,"x_from_left_mm":240,"y_from_top_mm":60,"face":"top","layer":1},{"bar_id":"B012-B1","diameter_mm":20,"x_from_left_mm":60,"y_from_top_mm":440,"face":"bottom","layer":1},{"bar_id":"B012-B2","diameter_mm":20,"x_from_left_mm":150,"y_from_top_mm":440,"face":"bottom","layer":1},{"bar_id":"B012-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</si>
  <si>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012-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</si>
  <si>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012-ULS-S1","station_id":"S1","action_basis":"static_concurrent","v2_kn":50,"v3_kn":0,"torsion_kn_m":3,"m2_kn_m":0,"m3_kn_m":50,"source_identity":"B012-actions-r1:ULS"},"flexural_capacity":{"profile_id":"IS456-WP01","section_kind":"rectangular","web_width_mm":300,"depth_mm":500,"concrete_strength_n_per_mm2":25,"steel_yield_strength_n_per_mm2":415,"bars":[{"bar_id":"B012-T1","diameter_mm":16,"x_from_left_mm":60,"y_from_top_mm":60,"face":"top","layer":1},{"bar_id":"B012-T2","diameter_mm":16,"x_from_left_mm":240,"y_from_top_mm":60,"face":"top","layer":1},{"bar_id":"B012-B1","diameter_mm":20,"x_from_left_mm":60,"y_from_top_mm":440,"face":"bottom","layer":1},{"bar_id":"B012-B2","diameter_mm":20,"x_from_left_mm":150,"y_from_top_mm":440,"face":"bottom","layer":1},{"bar_id":"B012-B3","diameter_mm":20,"x_from_left_mm":240,"y_from_top_mm":440,"face":"bottom","layer":1}],"tension_face":"bottom","flange_width_mm":null,"flange_thickness_mm":null,"axial_force_kn":0,"code_data_revision_id":"is456-wp01-v1"},"link":{"link_id":"B012-L8","diameter_mm":8,"legs_v2":2,"legs_v3":2,"spacing_mm":150,"steel_yield_strength_n_per_mm2":415,"closed":true,"centre_width_mm":242,"centre_depth_mm":442},"perimeter_bar_ids":["B012-T1","B012-T2","B012-B1","B012-B3"],"code_data_revision_id":"is456-wp02-v1"}</t>
  </si>
  <si>
    <t>{"profile_id":"IS456-WP04","method":"calculated_components","screening":null,"calculated":{"service_action_snapshot_id":"B012-SLS-snapshot","total_service_action_row_ids":["B012-SLS-total"],"sustained_service_action_row_ids":["B012-SLS-sustained"],"analysis_result_id":"B012-analysis-SLS","reinforcement_revision_id":"B012-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</si>
  <si>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012","station_id":"S1","service_action_row_id":"B012-SLS-service","reinforcement_revision_id":"B012-reinforcement-r1","section_width_mm":300,"section_depth_mm":500,"neutral_axis_depth_from_compression_face_mm":200,"tension_face":"bottom","bars":[{"bar_id":"B012-B1","diameter_mm":20,"x_from_left_mm":60,"y_from_top_mm":440,"face":"bottom","layer":1},{"bar_id":"B012-B2","diameter_mm":20,"x_from_left_mm":150,"y_from_top_mm":440,"face":"bottom","layer":1},{"bar_id":"B012-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</si>
  <si>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012","reinforcement_revision_id":"B012-reinforcement-r1","paths":[{"bar_id":"B012-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012-ULS-right"]}}],"code_data_revision_id":"is456-amd6-wp05-v1"}</t>
  </si>
  <si>
    <t>{"profile_id":"IS456-WP05","member_id":"B012","physical_span_id":"SPAN-1","demand_revision_id":"B012-actions-r1","reinforcement_revision_id":"B012-reinforcement-r1","member_start_x_mm":0,"member_end_x_mm":6000,"effective_depth_mm":440,"concrete_grade_n_per_mm2":25,"steel_yield_strength_n_per_mm2":415,"bar_surface":"deformed","bars":[{"bar_id":"B012-T1","bar_mark":"T16","role":"top_longitudinal","diameter_mm":16,"layer":1,"x_from_left_mm":60,"y_from_top_mm":60,"start_station_mm":0,"end_station_mm":6000,"design_stress_n_per_mm2":361.05,"bundle_size":1},{"bar_id":"B012-T2","bar_mark":"T16","role":"top_longitudinal","diameter_mm":16,"layer":1,"x_from_left_mm":240,"y_from_top_mm":60,"start_station_mm":0,"end_station_mm":6000,"design_stress_n_per_mm2":361.05,"bundle_size":1},{"bar_id":"B012-B1","bar_mark":"B20","role":"bottom_longitudinal","diameter_mm":20,"layer":1,"x_from_left_mm":60,"y_from_top_mm":440,"start_station_mm":0,"end_station_mm":6000,"design_stress_n_per_mm2":361.05,"bundle_size":1},{"bar_id":"B012-B2","bar_mark":"B20","role":"bottom_longitudinal","diameter_mm":20,"layer":1,"x_from_left_mm":150,"y_from_top_mm":440,"start_station_mm":0,"end_station_mm":6000,"design_stress_n_per_mm2":361.05,"bundle_size":1},{"bar_id":"B012-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012-ULS-S1"}],"splices":[{"splice_id":"SP-1","kind":"lap","bar_ids":["B012-B1","B012-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</si>
  <si>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012","station_id":"MID","reinforcement_revision_id":"B012-reinforcement-r1","section_width_mm":300,"section_depth_mm":500,"nominal_cover_mm":25,"maximum_aggregate_size_mm":20,"bars":[{"bar_id":"B012-T1","bar_mark":"T16","role":"top_longitudinal","diameter_mm":16,"layer":1,"x_from_left_mm":60,"y_from_top_mm":60,"start_station_mm":0,"end_station_mm":6000,"design_stress_n_per_mm2":361.05,"bundle_size":1},{"bar_id":"B012-T2","bar_mark":"T16","role":"top_longitudinal","diameter_mm":16,"layer":1,"x_from_left_mm":240,"y_from_top_mm":60,"start_station_mm":0,"end_station_mm":6000,"design_stress_n_per_mm2":361.05,"bundle_size":1},{"bar_id":"B012-B1","bar_mark":"B20","role":"bottom_longitudinal","diameter_mm":20,"layer":1,"x_from_left_mm":60,"y_from_top_mm":440,"start_station_mm":0,"end_station_mm":6000,"design_stress_n_per_mm2":361.05,"bundle_size":1},{"bar_id":"B012-B2","bar_mark":"B20","role":"bottom_longitudinal","diameter_mm":20,"layer":1,"x_from_left_mm":150,"y_from_top_mm":440,"start_station_mm":0,"end_station_mm":6000,"design_stress_n_per_mm2":361.05,"bundle_size":1},{"bar_id":"B012-B3","bar_mark":"B20","role":"bottom_longitudinal","diameter_mm":20,"layer":1,"x_from_left_mm":240,"y_from_top_mm":440,"start_station_mm":0,"end_station_mm":6000,"design_stress_n_per_mm2":361.05,"bundle_size":1}],"links":[{"link_id":"B012-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012-placement-r1"},"require_placement_plan":true,"code_data_revision_id":"is456-amd6-wp05-v1"}</t>
  </si>
  <si>
    <t>{"member_id":"B013","local_axes":{"axis_id":"B013-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</si>
  <si>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013-T1","diameter_mm":16,"x_from_left_mm":60,"y_from_top_mm":60,"face":"top","layer":1},{"bar_id":"B013-T2","diameter_mm":16,"x_from_left_mm":240,"y_from_top_mm":60,"face":"top","layer":1},{"bar_id":"B013-B1","diameter_mm":20,"x_from_left_mm":60,"y_from_top_mm":440,"face":"bottom","layer":1},{"bar_id":"B013-B2","diameter_mm":20,"x_from_left_mm":150,"y_from_top_mm":440,"face":"bottom","layer":1},{"bar_id":"B013-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</si>
  <si>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013-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</si>
  <si>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013-ULS-S1","station_id":"S1","action_basis":"static_concurrent","v2_kn":50,"v3_kn":0,"torsion_kn_m":3,"m2_kn_m":0,"m3_kn_m":50,"source_identity":"B013-actions-r1:ULS"},"flexural_capacity":{"profile_id":"IS456-WP01","section_kind":"rectangular","web_width_mm":300,"depth_mm":500,"concrete_strength_n_per_mm2":25,"steel_yield_strength_n_per_mm2":415,"bars":[{"bar_id":"B013-T1","diameter_mm":16,"x_from_left_mm":60,"y_from_top_mm":60,"face":"top","layer":1},{"bar_id":"B013-T2","diameter_mm":16,"x_from_left_mm":240,"y_from_top_mm":60,"face":"top","layer":1},{"bar_id":"B013-B1","diameter_mm":20,"x_from_left_mm":60,"y_from_top_mm":440,"face":"bottom","layer":1},{"bar_id":"B013-B2","diameter_mm":20,"x_from_left_mm":150,"y_from_top_mm":440,"face":"bottom","layer":1},{"bar_id":"B013-B3","diameter_mm":20,"x_from_left_mm":240,"y_from_top_mm":440,"face":"bottom","layer":1}],"tension_face":"bottom","flange_width_mm":null,"flange_thickness_mm":null,"axial_force_kn":0,"code_data_revision_id":"is456-wp01-v1"},"link":{"link_id":"B013-L8","diameter_mm":8,"legs_v2":2,"legs_v3":2,"spacing_mm":150,"steel_yield_strength_n_per_mm2":415,"closed":true,"centre_width_mm":242,"centre_depth_mm":442},"perimeter_bar_ids":["B013-T1","B013-T2","B013-B1","B013-B3"],"code_data_revision_id":"is456-wp02-v1"}</t>
  </si>
  <si>
    <t>{"profile_id":"IS456-WP04","method":"calculated_components","screening":null,"calculated":{"service_action_snapshot_id":"B013-SLS-snapshot","total_service_action_row_ids":["B013-SLS-total"],"sustained_service_action_row_ids":["B013-SLS-sustained"],"analysis_result_id":"B013-analysis-SLS","reinforcement_revision_id":"B013-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</si>
  <si>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013","station_id":"S1","service_action_row_id":"B013-SLS-service","reinforcement_revision_id":"B013-reinforcement-r1","section_width_mm":300,"section_depth_mm":500,"neutral_axis_depth_from_compression_face_mm":200,"tension_face":"bottom","bars":[{"bar_id":"B013-B1","diameter_mm":20,"x_from_left_mm":60,"y_from_top_mm":440,"face":"bottom","layer":1},{"bar_id":"B013-B2","diameter_mm":20,"x_from_left_mm":150,"y_from_top_mm":440,"face":"bottom","layer":1},{"bar_id":"B013-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</si>
  <si>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013","reinforcement_revision_id":"B013-reinforcement-r1","paths":[{"bar_id":"B013-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013-ULS-right"]}}],"code_data_revision_id":"is456-amd6-wp05-v1"}</t>
  </si>
  <si>
    <t>{"profile_id":"IS456-WP05","member_id":"B013","physical_span_id":"SPAN-1","demand_revision_id":"B013-actions-r1","reinforcement_revision_id":"B013-reinforcement-r1","member_start_x_mm":0,"member_end_x_mm":6000,"effective_depth_mm":440,"concrete_grade_n_per_mm2":25,"steel_yield_strength_n_per_mm2":415,"bar_surface":"deformed","bars":[{"bar_id":"B013-T1","bar_mark":"T16","role":"top_longitudinal","diameter_mm":16,"layer":1,"x_from_left_mm":60,"y_from_top_mm":60,"start_station_mm":0,"end_station_mm":6000,"design_stress_n_per_mm2":361.05,"bundle_size":1},{"bar_id":"B013-T2","bar_mark":"T16","role":"top_longitudinal","diameter_mm":16,"layer":1,"x_from_left_mm":240,"y_from_top_mm":60,"start_station_mm":0,"end_station_mm":6000,"design_stress_n_per_mm2":361.05,"bundle_size":1},{"bar_id":"B013-B1","bar_mark":"B20","role":"bottom_longitudinal","diameter_mm":20,"layer":1,"x_from_left_mm":60,"y_from_top_mm":440,"start_station_mm":0,"end_station_mm":6000,"design_stress_n_per_mm2":361.05,"bundle_size":1},{"bar_id":"B013-B2","bar_mark":"B20","role":"bottom_longitudinal","diameter_mm":20,"layer":1,"x_from_left_mm":150,"y_from_top_mm":440,"start_station_mm":0,"end_station_mm":6000,"design_stress_n_per_mm2":361.05,"bundle_size":1},{"bar_id":"B013-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013-ULS-S1"}],"splices":[{"splice_id":"SP-1","kind":"lap","bar_ids":["B013-B1","B013-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</si>
  <si>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013","station_id":"MID","reinforcement_revision_id":"B013-reinforcement-r1","section_width_mm":300,"section_depth_mm":500,"nominal_cover_mm":25,"maximum_aggregate_size_mm":20,"bars":[{"bar_id":"B013-T1","bar_mark":"T16","role":"top_longitudinal","diameter_mm":16,"layer":1,"x_from_left_mm":60,"y_from_top_mm":60,"start_station_mm":0,"end_station_mm":6000,"design_stress_n_per_mm2":361.05,"bundle_size":1},{"bar_id":"B013-T2","bar_mark":"T16","role":"top_longitudinal","diameter_mm":16,"layer":1,"x_from_left_mm":240,"y_from_top_mm":60,"start_station_mm":0,"end_station_mm":6000,"design_stress_n_per_mm2":361.05,"bundle_size":1},{"bar_id":"B013-B1","bar_mark":"B20","role":"bottom_longitudinal","diameter_mm":20,"layer":1,"x_from_left_mm":60,"y_from_top_mm":440,"start_station_mm":0,"end_station_mm":6000,"design_stress_n_per_mm2":361.05,"bundle_size":1},{"bar_id":"B013-B2","bar_mark":"B20","role":"bottom_longitudinal","diameter_mm":20,"layer":1,"x_from_left_mm":150,"y_from_top_mm":440,"start_station_mm":0,"end_station_mm":6000,"design_stress_n_per_mm2":361.05,"bundle_size":1},{"bar_id":"B013-B3","bar_mark":"B20","role":"bottom_longitudinal","diameter_mm":20,"layer":1,"x_from_left_mm":240,"y_from_top_mm":440,"start_station_mm":0,"end_station_mm":6000,"design_stress_n_per_mm2":361.05,"bundle_size":1}],"links":[{"link_id":"B013-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013-placement-r1"},"require_placement_plan":true,"code_data_revision_id":"is456-amd6-wp05-v1"}</t>
  </si>
  <si>
    <t>{"member_id":"B014","local_axes":{"axis_id":"B014-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</si>
  <si>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014-T1","diameter_mm":16,"x_from_left_mm":60,"y_from_top_mm":60,"face":"top","layer":1},{"bar_id":"B014-T2","diameter_mm":16,"x_from_left_mm":240,"y_from_top_mm":60,"face":"top","layer":1},{"bar_id":"B014-B1","diameter_mm":20,"x_from_left_mm":60,"y_from_top_mm":440,"face":"bottom","layer":1},{"bar_id":"B014-B2","diameter_mm":20,"x_from_left_mm":150,"y_from_top_mm":440,"face":"bottom","layer":1},{"bar_id":"B014-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</si>
  <si>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014-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</si>
  <si>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014-ULS-S1","station_id":"S1","action_basis":"static_concurrent","v2_kn":50,"v3_kn":0,"torsion_kn_m":3,"m2_kn_m":0,"m3_kn_m":50,"source_identity":"B014-actions-r1:ULS"},"flexural_capacity":{"profile_id":"IS456-WP01","section_kind":"rectangular","web_width_mm":300,"depth_mm":500,"concrete_strength_n_per_mm2":25,"steel_yield_strength_n_per_mm2":415,"bars":[{"bar_id":"B014-T1","diameter_mm":16,"x_from_left_mm":60,"y_from_top_mm":60,"face":"top","layer":1},{"bar_id":"B014-T2","diameter_mm":16,"x_from_left_mm":240,"y_from_top_mm":60,"face":"top","layer":1},{"bar_id":"B014-B1","diameter_mm":20,"x_from_left_mm":60,"y_from_top_mm":440,"face":"bottom","layer":1},{"bar_id":"B014-B2","diameter_mm":20,"x_from_left_mm":150,"y_from_top_mm":440,"face":"bottom","layer":1},{"bar_id":"B014-B3","diameter_mm":20,"x_from_left_mm":240,"y_from_top_mm":440,"face":"bottom","layer":1}],"tension_face":"bottom","flange_width_mm":null,"flange_thickness_mm":null,"axial_force_kn":0,"code_data_revision_id":"is456-wp01-v1"},"link":{"link_id":"B014-L8","diameter_mm":8,"legs_v2":2,"legs_v3":2,"spacing_mm":150,"steel_yield_strength_n_per_mm2":415,"closed":true,"centre_width_mm":242,"centre_depth_mm":442},"perimeter_bar_ids":["B014-T1","B014-T2","B014-B1","B014-B3"],"code_data_revision_id":"is456-wp02-v1"}</t>
  </si>
  <si>
    <t>{"profile_id":"IS456-WP04","method":"calculated_components","screening":null,"calculated":{"service_action_snapshot_id":"B014-SLS-snapshot","total_service_action_row_ids":["B014-SLS-total"],"sustained_service_action_row_ids":["B014-SLS-sustained"],"analysis_result_id":"B014-analysis-SLS","reinforcement_revision_id":"B014-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</si>
  <si>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014","station_id":"S1","service_action_row_id":"B014-SLS-service","reinforcement_revision_id":"B014-reinforcement-r1","section_width_mm":300,"section_depth_mm":500,"neutral_axis_depth_from_compression_face_mm":200,"tension_face":"bottom","bars":[{"bar_id":"B014-B1","diameter_mm":20,"x_from_left_mm":60,"y_from_top_mm":440,"face":"bottom","layer":1},{"bar_id":"B014-B2","diameter_mm":20,"x_from_left_mm":150,"y_from_top_mm":440,"face":"bottom","layer":1},{"bar_id":"B014-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</si>
  <si>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014","reinforcement_revision_id":"B014-reinforcement-r1","paths":[{"bar_id":"B014-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014-ULS-right"]}}],"code_data_revision_id":"is456-amd6-wp05-v1"}</t>
  </si>
  <si>
    <t>{"profile_id":"IS456-WP05","member_id":"B014","physical_span_id":"SPAN-1","demand_revision_id":"B014-actions-r1","reinforcement_revision_id":"B014-reinforcement-r1","member_start_x_mm":0,"member_end_x_mm":6000,"effective_depth_mm":440,"concrete_grade_n_per_mm2":25,"steel_yield_strength_n_per_mm2":415,"bar_surface":"deformed","bars":[{"bar_id":"B014-T1","bar_mark":"T16","role":"top_longitudinal","diameter_mm":16,"layer":1,"x_from_left_mm":60,"y_from_top_mm":60,"start_station_mm":0,"end_station_mm":6000,"design_stress_n_per_mm2":361.05,"bundle_size":1},{"bar_id":"B014-T2","bar_mark":"T16","role":"top_longitudinal","diameter_mm":16,"layer":1,"x_from_left_mm":240,"y_from_top_mm":60,"start_station_mm":0,"end_station_mm":6000,"design_stress_n_per_mm2":361.05,"bundle_size":1},{"bar_id":"B014-B1","bar_mark":"B20","role":"bottom_longitudinal","diameter_mm":20,"layer":1,"x_from_left_mm":60,"y_from_top_mm":440,"start_station_mm":0,"end_station_mm":6000,"design_stress_n_per_mm2":361.05,"bundle_size":1},{"bar_id":"B014-B2","bar_mark":"B20","role":"bottom_longitudinal","diameter_mm":20,"layer":1,"x_from_left_mm":150,"y_from_top_mm":440,"start_station_mm":0,"end_station_mm":6000,"design_stress_n_per_mm2":361.05,"bundle_size":1},{"bar_id":"B014-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014-ULS-S1"}],"splices":[{"splice_id":"SP-1","kind":"lap","bar_ids":["B014-B1","B014-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</si>
  <si>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014","station_id":"MID","reinforcement_revision_id":"B014-reinforcement-r1","section_width_mm":300,"section_depth_mm":500,"nominal_cover_mm":25,"maximum_aggregate_size_mm":20,"bars":[{"bar_id":"B014-T1","bar_mark":"T16","role":"top_longitudinal","diameter_mm":16,"layer":1,"x_from_left_mm":60,"y_from_top_mm":60,"start_station_mm":0,"end_station_mm":6000,"design_stress_n_per_mm2":361.05,"bundle_size":1},{"bar_id":"B014-T2","bar_mark":"T16","role":"top_longitudinal","diameter_mm":16,"layer":1,"x_from_left_mm":240,"y_from_top_mm":60,"start_station_mm":0,"end_station_mm":6000,"design_stress_n_per_mm2":361.05,"bundle_size":1},{"bar_id":"B014-B1","bar_mark":"B20","role":"bottom_longitudinal","diameter_mm":20,"layer":1,"x_from_left_mm":60,"y_from_top_mm":440,"start_station_mm":0,"end_station_mm":6000,"design_stress_n_per_mm2":361.05,"bundle_size":1},{"bar_id":"B014-B2","bar_mark":"B20","role":"bottom_longitudinal","diameter_mm":20,"layer":1,"x_from_left_mm":150,"y_from_top_mm":440,"start_station_mm":0,"end_station_mm":6000,"design_stress_n_per_mm2":361.05,"bundle_size":1},{"bar_id":"B014-B3","bar_mark":"B20","role":"bottom_longitudinal","diameter_mm":20,"layer":1,"x_from_left_mm":240,"y_from_top_mm":440,"start_station_mm":0,"end_station_mm":6000,"design_stress_n_per_mm2":361.05,"bundle_size":1}],"links":[{"link_id":"B014-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014-placement-r1"},"require_placement_plan":true,"code_data_revision_id":"is456-amd6-wp05-v1"}</t>
  </si>
  <si>
    <t>{"member_id":"B015","local_axes":{"axis_id":"B015-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</si>
  <si>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015-T1","diameter_mm":16,"x_from_left_mm":60,"y_from_top_mm":60,"face":"top","layer":1},{"bar_id":"B015-T2","diameter_mm":16,"x_from_left_mm":240,"y_from_top_mm":60,"face":"top","layer":1},{"bar_id":"B015-B1","diameter_mm":20,"x_from_left_mm":60,"y_from_top_mm":440,"face":"bottom","layer":1},{"bar_id":"B015-B2","diameter_mm":20,"x_from_left_mm":150,"y_from_top_mm":440,"face":"bottom","layer":1},{"bar_id":"B015-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</si>
  <si>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015-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</si>
  <si>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015-ULS-S1","station_id":"S1","action_basis":"static_concurrent","v2_kn":50,"v3_kn":0,"torsion_kn_m":3,"m2_kn_m":0,"m3_kn_m":50,"source_identity":"B015-actions-r1:ULS"},"flexural_capacity":{"profile_id":"IS456-WP01","section_kind":"rectangular","web_width_mm":300,"depth_mm":500,"concrete_strength_n_per_mm2":25,"steel_yield_strength_n_per_mm2":415,"bars":[{"bar_id":"B015-T1","diameter_mm":16,"x_from_left_mm":60,"y_from_top_mm":60,"face":"top","layer":1},{"bar_id":"B015-T2","diameter_mm":16,"x_from_left_mm":240,"y_from_top_mm":60,"face":"top","layer":1},{"bar_id":"B015-B1","diameter_mm":20,"x_from_left_mm":60,"y_from_top_mm":440,"face":"bottom","layer":1},{"bar_id":"B015-B2","diameter_mm":20,"x_from_left_mm":150,"y_from_top_mm":440,"face":"bottom","layer":1},{"bar_id":"B015-B3","diameter_mm":20,"x_from_left_mm":240,"y_from_top_mm":440,"face":"bottom","layer":1}],"tension_face":"bottom","flange_width_mm":null,"flange_thickness_mm":null,"axial_force_kn":0,"code_data_revision_id":"is456-wp01-v1"},"link":{"link_id":"B015-L8","diameter_mm":8,"legs_v2":2,"legs_v3":2,"spacing_mm":150,"steel_yield_strength_n_per_mm2":415,"closed":true,"centre_width_mm":242,"centre_depth_mm":442},"perimeter_bar_ids":["B015-T1","B015-T2","B015-B1","B015-B3"],"code_data_revision_id":"is456-wp02-v1"}</t>
  </si>
  <si>
    <t>{"profile_id":"IS456-WP04","method":"calculated_components","screening":null,"calculated":{"service_action_snapshot_id":"B015-SLS-snapshot","total_service_action_row_ids":["B015-SLS-total"],"sustained_service_action_row_ids":["B015-SLS-sustained"],"analysis_result_id":"B015-analysis-SLS","reinforcement_revision_id":"B015-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</si>
  <si>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015","station_id":"S1","service_action_row_id":"B015-SLS-service","reinforcement_revision_id":"B015-reinforcement-r1","section_width_mm":300,"section_depth_mm":500,"neutral_axis_depth_from_compression_face_mm":200,"tension_face":"bottom","bars":[{"bar_id":"B015-B1","diameter_mm":20,"x_from_left_mm":60,"y_from_top_mm":440,"face":"bottom","layer":1},{"bar_id":"B015-B2","diameter_mm":20,"x_from_left_mm":150,"y_from_top_mm":440,"face":"bottom","layer":1},{"bar_id":"B015-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</si>
  <si>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015","reinforcement_revision_id":"B015-reinforcement-r1","paths":[{"bar_id":"B015-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015-ULS-right"]}}],"code_data_revision_id":"is456-amd6-wp05-v1"}</t>
  </si>
  <si>
    <t>{"profile_id":"IS456-WP05","member_id":"B015","physical_span_id":"SPAN-1","demand_revision_id":"B015-actions-r1","reinforcement_revision_id":"B015-reinforcement-r1","member_start_x_mm":0,"member_end_x_mm":6000,"effective_depth_mm":440,"concrete_grade_n_per_mm2":25,"steel_yield_strength_n_per_mm2":415,"bar_surface":"deformed","bars":[{"bar_id":"B015-T1","bar_mark":"T16","role":"top_longitudinal","diameter_mm":16,"layer":1,"x_from_left_mm":60,"y_from_top_mm":60,"start_station_mm":0,"end_station_mm":6000,"design_stress_n_per_mm2":361.05,"bundle_size":1},{"bar_id":"B015-T2","bar_mark":"T16","role":"top_longitudinal","diameter_mm":16,"layer":1,"x_from_left_mm":240,"y_from_top_mm":60,"start_station_mm":0,"end_station_mm":6000,"design_stress_n_per_mm2":361.05,"bundle_size":1},{"bar_id":"B015-B1","bar_mark":"B20","role":"bottom_longitudinal","diameter_mm":20,"layer":1,"x_from_left_mm":60,"y_from_top_mm":440,"start_station_mm":0,"end_station_mm":6000,"design_stress_n_per_mm2":361.05,"bundle_size":1},{"bar_id":"B015-B2","bar_mark":"B20","role":"bottom_longitudinal","diameter_mm":20,"layer":1,"x_from_left_mm":150,"y_from_top_mm":440,"start_station_mm":0,"end_station_mm":6000,"design_stress_n_per_mm2":361.05,"bundle_size":1},{"bar_id":"B015-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015-ULS-S1"}],"splices":[{"splice_id":"SP-1","kind":"lap","bar_ids":["B015-B1","B015-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</si>
  <si>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015","station_id":"MID","reinforcement_revision_id":"B015-reinforcement-r1","section_width_mm":300,"section_depth_mm":500,"nominal_cover_mm":25,"maximum_aggregate_size_mm":20,"bars":[{"bar_id":"B015-T1","bar_mark":"T16","role":"top_longitudinal","diameter_mm":16,"layer":1,"x_from_left_mm":60,"y_from_top_mm":60,"start_station_mm":0,"end_station_mm":6000,"design_stress_n_per_mm2":361.05,"bundle_size":1},{"bar_id":"B015-T2","bar_mark":"T16","role":"top_longitudinal","diameter_mm":16,"layer":1,"x_from_left_mm":240,"y_from_top_mm":60,"start_station_mm":0,"end_station_mm":6000,"design_stress_n_per_mm2":361.05,"bundle_size":1},{"bar_id":"B015-B1","bar_mark":"B20","role":"bottom_longitudinal","diameter_mm":20,"layer":1,"x_from_left_mm":60,"y_from_top_mm":440,"start_station_mm":0,"end_station_mm":6000,"design_stress_n_per_mm2":361.05,"bundle_size":1},{"bar_id":"B015-B2","bar_mark":"B20","role":"bottom_longitudinal","diameter_mm":20,"layer":1,"x_from_left_mm":150,"y_from_top_mm":440,"start_station_mm":0,"end_station_mm":6000,"design_stress_n_per_mm2":361.05,"bundle_size":1},{"bar_id":"B015-B3","bar_mark":"B20","role":"bottom_longitudinal","diameter_mm":20,"layer":1,"x_from_left_mm":240,"y_from_top_mm":440,"start_station_mm":0,"end_station_mm":6000,"design_stress_n_per_mm2":361.05,"bundle_size":1}],"links":[{"link_id":"B015-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015-placement-r1"},"require_placement_plan":true,"code_data_revision_id":"is456-amd6-wp05-v1"}</t>
  </si>
  <si>
    <t>{"member_id":"B016","local_axes":{"axis_id":"B016-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</si>
  <si>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016-T1","diameter_mm":16,"x_from_left_mm":60,"y_from_top_mm":60,"face":"top","layer":1},{"bar_id":"B016-T2","diameter_mm":16,"x_from_left_mm":240,"y_from_top_mm":60,"face":"top","layer":1},{"bar_id":"B016-B1","diameter_mm":20,"x_from_left_mm":60,"y_from_top_mm":440,"face":"bottom","layer":1},{"bar_id":"B016-B2","diameter_mm":20,"x_from_left_mm":150,"y_from_top_mm":440,"face":"bottom","layer":1},{"bar_id":"B016-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</si>
  <si>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016-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</si>
  <si>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016-ULS-S1","station_id":"S1","action_basis":"static_concurrent","v2_kn":50,"v3_kn":0,"torsion_kn_m":3,"m2_kn_m":0,"m3_kn_m":50,"source_identity":"B016-actions-r1:ULS"},"flexural_capacity":{"profile_id":"IS456-WP01","section_kind":"rectangular","web_width_mm":300,"depth_mm":500,"concrete_strength_n_per_mm2":25,"steel_yield_strength_n_per_mm2":415,"bars":[{"bar_id":"B016-T1","diameter_mm":16,"x_from_left_mm":60,"y_from_top_mm":60,"face":"top","layer":1},{"bar_id":"B016-T2","diameter_mm":16,"x_from_left_mm":240,"y_from_top_mm":60,"face":"top","layer":1},{"bar_id":"B016-B1","diameter_mm":20,"x_from_left_mm":60,"y_from_top_mm":440,"face":"bottom","layer":1},{"bar_id":"B016-B2","diameter_mm":20,"x_from_left_mm":150,"y_from_top_mm":440,"face":"bottom","layer":1},{"bar_id":"B016-B3","diameter_mm":20,"x_from_left_mm":240,"y_from_top_mm":440,"face":"bottom","layer":1}],"tension_face":"bottom","flange_width_mm":null,"flange_thickness_mm":null,"axial_force_kn":0,"code_data_revision_id":"is456-wp01-v1"},"link":{"link_id":"B016-L8","diameter_mm":8,"legs_v2":2,"legs_v3":2,"spacing_mm":150,"steel_yield_strength_n_per_mm2":415,"closed":true,"centre_width_mm":242,"centre_depth_mm":442},"perimeter_bar_ids":["B016-T1","B016-T2","B016-B1","B016-B3"],"code_data_revision_id":"is456-wp02-v1"}</t>
  </si>
  <si>
    <t>{"profile_id":"IS456-WP04","method":"calculated_components","screening":null,"calculated":{"service_action_snapshot_id":"B016-SLS-snapshot","total_service_action_row_ids":["B016-SLS-total"],"sustained_service_action_row_ids":["B016-SLS-sustained"],"analysis_result_id":"B016-analysis-SLS","reinforcement_revision_id":"B016-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</si>
  <si>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016","station_id":"S1","service_action_row_id":"B016-SLS-service","reinforcement_revision_id":"B016-reinforcement-r1","section_width_mm":300,"section_depth_mm":500,"neutral_axis_depth_from_compression_face_mm":200,"tension_face":"bottom","bars":[{"bar_id":"B016-B1","diameter_mm":20,"x_from_left_mm":60,"y_from_top_mm":440,"face":"bottom","layer":1},{"bar_id":"B016-B2","diameter_mm":20,"x_from_left_mm":150,"y_from_top_mm":440,"face":"bottom","layer":1},{"bar_id":"B016-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</si>
  <si>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016","reinforcement_revision_id":"B016-reinforcement-r1","paths":[{"bar_id":"B016-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016-ULS-right"]}}],"code_data_revision_id":"is456-amd6-wp05-v1"}</t>
  </si>
  <si>
    <t>{"profile_id":"IS456-WP05","member_id":"B016","physical_span_id":"SPAN-1","demand_revision_id":"B016-actions-r1","reinforcement_revision_id":"B016-reinforcement-r1","member_start_x_mm":0,"member_end_x_mm":6000,"effective_depth_mm":440,"concrete_grade_n_per_mm2":25,"steel_yield_strength_n_per_mm2":415,"bar_surface":"deformed","bars":[{"bar_id":"B016-T1","bar_mark":"T16","role":"top_longitudinal","diameter_mm":16,"layer":1,"x_from_left_mm":60,"y_from_top_mm":60,"start_station_mm":0,"end_station_mm":6000,"design_stress_n_per_mm2":361.05,"bundle_size":1},{"bar_id":"B016-T2","bar_mark":"T16","role":"top_longitudinal","diameter_mm":16,"layer":1,"x_from_left_mm":240,"y_from_top_mm":60,"start_station_mm":0,"end_station_mm":6000,"design_stress_n_per_mm2":361.05,"bundle_size":1},{"bar_id":"B016-B1","bar_mark":"B20","role":"bottom_longitudinal","diameter_mm":20,"layer":1,"x_from_left_mm":60,"y_from_top_mm":440,"start_station_mm":0,"end_station_mm":6000,"design_stress_n_per_mm2":361.05,"bundle_size":1},{"bar_id":"B016-B2","bar_mark":"B20","role":"bottom_longitudinal","diameter_mm":20,"layer":1,"x_from_left_mm":150,"y_from_top_mm":440,"start_station_mm":0,"end_station_mm":6000,"design_stress_n_per_mm2":361.05,"bundle_size":1},{"bar_id":"B016-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016-ULS-S1"}],"splices":[{"splice_id":"SP-1","kind":"lap","bar_ids":["B016-B1","B016-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</si>
  <si>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016","station_id":"MID","reinforcement_revision_id":"B016-reinforcement-r1","section_width_mm":300,"section_depth_mm":500,"nominal_cover_mm":25,"maximum_aggregate_size_mm":20,"bars":[{"bar_id":"B016-T1","bar_mark":"T16","role":"top_longitudinal","diameter_mm":16,"layer":1,"x_from_left_mm":60,"y_from_top_mm":60,"start_station_mm":0,"end_station_mm":6000,"design_stress_n_per_mm2":361.05,"bundle_size":1},{"bar_id":"B016-T2","bar_mark":"T16","role":"top_longitudinal","diameter_mm":16,"layer":1,"x_from_left_mm":240,"y_from_top_mm":60,"start_station_mm":0,"end_station_mm":6000,"design_stress_n_per_mm2":361.05,"bundle_size":1},{"bar_id":"B016-B1","bar_mark":"B20","role":"bottom_longitudinal","diameter_mm":20,"layer":1,"x_from_left_mm":60,"y_from_top_mm":440,"start_station_mm":0,"end_station_mm":6000,"design_stress_n_per_mm2":361.05,"bundle_size":1},{"bar_id":"B016-B2","bar_mark":"B20","role":"bottom_longitudinal","diameter_mm":20,"layer":1,"x_from_left_mm":150,"y_from_top_mm":440,"start_station_mm":0,"end_station_mm":6000,"design_stress_n_per_mm2":361.05,"bundle_size":1},{"bar_id":"B016-B3","bar_mark":"B20","role":"bottom_longitudinal","diameter_mm":20,"layer":1,"x_from_left_mm":240,"y_from_top_mm":440,"start_station_mm":0,"end_station_mm":6000,"design_stress_n_per_mm2":361.05,"bundle_size":1}],"links":[{"link_id":"B016-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016-placement-r1"},"require_placement_plan":true,"code_data_revision_id":"is456-amd6-wp05-v1"}</t>
  </si>
  <si>
    <t>{"member_id":"B017","local_axes":{"axis_id":"B017-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</si>
  <si>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017-T1","diameter_mm":16,"x_from_left_mm":60,"y_from_top_mm":60,"face":"top","layer":1},{"bar_id":"B017-T2","diameter_mm":16,"x_from_left_mm":240,"y_from_top_mm":60,"face":"top","layer":1},{"bar_id":"B017-B1","diameter_mm":20,"x_from_left_mm":60,"y_from_top_mm":440,"face":"bottom","layer":1},{"bar_id":"B017-B2","diameter_mm":20,"x_from_left_mm":150,"y_from_top_mm":440,"face":"bottom","layer":1},{"bar_id":"B017-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</si>
  <si>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017-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</si>
  <si>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017-ULS-S1","station_id":"S1","action_basis":"static_concurrent","v2_kn":50,"v3_kn":0,"torsion_kn_m":3,"m2_kn_m":0,"m3_kn_m":50,"source_identity":"B017-actions-r1:ULS"},"flexural_capacity":{"profile_id":"IS456-WP01","section_kind":"rectangular","web_width_mm":300,"depth_mm":500,"concrete_strength_n_per_mm2":25,"steel_yield_strength_n_per_mm2":415,"bars":[{"bar_id":"B017-T1","diameter_mm":16,"x_from_left_mm":60,"y_from_top_mm":60,"face":"top","layer":1},{"bar_id":"B017-T2","diameter_mm":16,"x_from_left_mm":240,"y_from_top_mm":60,"face":"top","layer":1},{"bar_id":"B017-B1","diameter_mm":20,"x_from_left_mm":60,"y_from_top_mm":440,"face":"bottom","layer":1},{"bar_id":"B017-B2","diameter_mm":20,"x_from_left_mm":150,"y_from_top_mm":440,"face":"bottom","layer":1},{"bar_id":"B017-B3","diameter_mm":20,"x_from_left_mm":240,"y_from_top_mm":440,"face":"bottom","layer":1}],"tension_face":"bottom","flange_width_mm":null,"flange_thickness_mm":null,"axial_force_kn":0,"code_data_revision_id":"is456-wp01-v1"},"link":{"link_id":"B017-L8","diameter_mm":8,"legs_v2":2,"legs_v3":2,"spacing_mm":150,"steel_yield_strength_n_per_mm2":415,"closed":true,"centre_width_mm":242,"centre_depth_mm":442},"perimeter_bar_ids":["B017-T1","B017-T2","B017-B1","B017-B3"],"code_data_revision_id":"is456-wp02-v1"}</t>
  </si>
  <si>
    <t>{"profile_id":"IS456-WP04","method":"calculated_components","screening":null,"calculated":{"service_action_snapshot_id":"B017-SLS-snapshot","total_service_action_row_ids":["B017-SLS-total"],"sustained_service_action_row_ids":["B017-SLS-sustained"],"analysis_result_id":"B017-analysis-SLS","reinforcement_revision_id":"B017-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</si>
  <si>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017","station_id":"S1","service_action_row_id":"B017-SLS-service","reinforcement_revision_id":"B017-reinforcement-r1","section_width_mm":300,"section_depth_mm":500,"neutral_axis_depth_from_compression_face_mm":200,"tension_face":"bottom","bars":[{"bar_id":"B017-B1","diameter_mm":20,"x_from_left_mm":60,"y_from_top_mm":440,"face":"bottom","layer":1},{"bar_id":"B017-B2","diameter_mm":20,"x_from_left_mm":150,"y_from_top_mm":440,"face":"bottom","layer":1},{"bar_id":"B017-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</si>
  <si>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017","reinforcement_revision_id":"B017-reinforcement-r1","paths":[{"bar_id":"B017-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017-ULS-right"]}}],"code_data_revision_id":"is456-amd6-wp05-v1"}</t>
  </si>
  <si>
    <t>{"profile_id":"IS456-WP05","member_id":"B017","physical_span_id":"SPAN-1","demand_revision_id":"B017-actions-r1","reinforcement_revision_id":"B017-reinforcement-r1","member_start_x_mm":0,"member_end_x_mm":6000,"effective_depth_mm":440,"concrete_grade_n_per_mm2":25,"steel_yield_strength_n_per_mm2":415,"bar_surface":"deformed","bars":[{"bar_id":"B017-T1","bar_mark":"T16","role":"top_longitudinal","diameter_mm":16,"layer":1,"x_from_left_mm":60,"y_from_top_mm":60,"start_station_mm":0,"end_station_mm":6000,"design_stress_n_per_mm2":361.05,"bundle_size":1},{"bar_id":"B017-T2","bar_mark":"T16","role":"top_longitudinal","diameter_mm":16,"layer":1,"x_from_left_mm":240,"y_from_top_mm":60,"start_station_mm":0,"end_station_mm":6000,"design_stress_n_per_mm2":361.05,"bundle_size":1},{"bar_id":"B017-B1","bar_mark":"B20","role":"bottom_longitudinal","diameter_mm":20,"layer":1,"x_from_left_mm":60,"y_from_top_mm":440,"start_station_mm":0,"end_station_mm":6000,"design_stress_n_per_mm2":361.05,"bundle_size":1},{"bar_id":"B017-B2","bar_mark":"B20","role":"bottom_longitudinal","diameter_mm":20,"layer":1,"x_from_left_mm":150,"y_from_top_mm":440,"start_station_mm":0,"end_station_mm":6000,"design_stress_n_per_mm2":361.05,"bundle_size":1},{"bar_id":"B017-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017-ULS-S1"}],"splices":[{"splice_id":"SP-1","kind":"lap","bar_ids":["B017-B1","B017-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</si>
  <si>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017","station_id":"MID","reinforcement_revision_id":"B017-reinforcement-r1","section_width_mm":300,"section_depth_mm":500,"nominal_cover_mm":25,"maximum_aggregate_size_mm":20,"bars":[{"bar_id":"B017-T1","bar_mark":"T16","role":"top_longitudinal","diameter_mm":16,"layer":1,"x_from_left_mm":60,"y_from_top_mm":60,"start_station_mm":0,"end_station_mm":6000,"design_stress_n_per_mm2":361.05,"bundle_size":1},{"bar_id":"B017-T2","bar_mark":"T16","role":"top_longitudinal","diameter_mm":16,"layer":1,"x_from_left_mm":240,"y_from_top_mm":60,"start_station_mm":0,"end_station_mm":6000,"design_stress_n_per_mm2":361.05,"bundle_size":1},{"bar_id":"B017-B1","bar_mark":"B20","role":"bottom_longitudinal","diameter_mm":20,"layer":1,"x_from_left_mm":60,"y_from_top_mm":440,"start_station_mm":0,"end_station_mm":6000,"design_stress_n_per_mm2":361.05,"bundle_size":1},{"bar_id":"B017-B2","bar_mark":"B20","role":"bottom_longitudinal","diameter_mm":20,"layer":1,"x_from_left_mm":150,"y_from_top_mm":440,"start_station_mm":0,"end_station_mm":6000,"design_stress_n_per_mm2":361.05,"bundle_size":1},{"bar_id":"B017-B3","bar_mark":"B20","role":"bottom_longitudinal","diameter_mm":20,"layer":1,"x_from_left_mm":240,"y_from_top_mm":440,"start_station_mm":0,"end_station_mm":6000,"design_stress_n_per_mm2":361.05,"bundle_size":1}],"links":[{"link_id":"B017-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017-placement-r1"},"require_placement_plan":true,"code_data_revision_id":"is456-amd6-wp05-v1"}</t>
  </si>
  <si>
    <t>{"member_id":"B018","local_axes":{"axis_id":"B018-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</si>
  <si>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018-T1","diameter_mm":16,"x_from_left_mm":60,"y_from_top_mm":60,"face":"top","layer":1},{"bar_id":"B018-T2","diameter_mm":16,"x_from_left_mm":240,"y_from_top_mm":60,"face":"top","layer":1},{"bar_id":"B018-B1","diameter_mm":20,"x_from_left_mm":60,"y_from_top_mm":440,"face":"bottom","layer":1},{"bar_id":"B018-B2","diameter_mm":20,"x_from_left_mm":150,"y_from_top_mm":440,"face":"bottom","layer":1},{"bar_id":"B018-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</si>
  <si>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018-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</si>
  <si>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018-ULS-S1","station_id":"S1","action_basis":"static_concurrent","v2_kn":50,"v3_kn":0,"torsion_kn_m":3,"m2_kn_m":0,"m3_kn_m":50,"source_identity":"B018-actions-r1:ULS"},"flexural_capacity":{"profile_id":"IS456-WP01","section_kind":"rectangular","web_width_mm":300,"depth_mm":500,"concrete_strength_n_per_mm2":25,"steel_yield_strength_n_per_mm2":415,"bars":[{"bar_id":"B018-T1","diameter_mm":16,"x_from_left_mm":60,"y_from_top_mm":60,"face":"top","layer":1},{"bar_id":"B018-T2","diameter_mm":16,"x_from_left_mm":240,"y_from_top_mm":60,"face":"top","layer":1},{"bar_id":"B018-B1","diameter_mm":20,"x_from_left_mm":60,"y_from_top_mm":440,"face":"bottom","layer":1},{"bar_id":"B018-B2","diameter_mm":20,"x_from_left_mm":150,"y_from_top_mm":440,"face":"bottom","layer":1},{"bar_id":"B018-B3","diameter_mm":20,"x_from_left_mm":240,"y_from_top_mm":440,"face":"bottom","layer":1}],"tension_face":"bottom","flange_width_mm":null,"flange_thickness_mm":null,"axial_force_kn":0,"code_data_revision_id":"is456-wp01-v1"},"link":{"link_id":"B018-L8","diameter_mm":8,"legs_v2":2,"legs_v3":2,"spacing_mm":150,"steel_yield_strength_n_per_mm2":415,"closed":true,"centre_width_mm":242,"centre_depth_mm":442},"perimeter_bar_ids":["B018-T1","B018-T2","B018-B1","B018-B3"],"code_data_revision_id":"is456-wp02-v1"}</t>
  </si>
  <si>
    <t>{"profile_id":"IS456-WP04","method":"calculated_components","screening":null,"calculated":{"service_action_snapshot_id":"B018-SLS-snapshot","total_service_action_row_ids":["B018-SLS-total"],"sustained_service_action_row_ids":["B018-SLS-sustained"],"analysis_result_id":"B018-analysis-SLS","reinforcement_revision_id":"B018-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</si>
  <si>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018","station_id":"S1","service_action_row_id":"B018-SLS-service","reinforcement_revision_id":"B018-reinforcement-r1","section_width_mm":300,"section_depth_mm":500,"neutral_axis_depth_from_compression_face_mm":200,"tension_face":"bottom","bars":[{"bar_id":"B018-B1","diameter_mm":20,"x_from_left_mm":60,"y_from_top_mm":440,"face":"bottom","layer":1},{"bar_id":"B018-B2","diameter_mm":20,"x_from_left_mm":150,"y_from_top_mm":440,"face":"bottom","layer":1},{"bar_id":"B018-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</si>
  <si>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018","reinforcement_revision_id":"B018-reinforcement-r1","paths":[{"bar_id":"B018-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018-ULS-right"]}}],"code_data_revision_id":"is456-amd6-wp05-v1"}</t>
  </si>
  <si>
    <t>{"profile_id":"IS456-WP05","member_id":"B018","physical_span_id":"SPAN-1","demand_revision_id":"B018-actions-r1","reinforcement_revision_id":"B018-reinforcement-r1","member_start_x_mm":0,"member_end_x_mm":6000,"effective_depth_mm":440,"concrete_grade_n_per_mm2":25,"steel_yield_strength_n_per_mm2":415,"bar_surface":"deformed","bars":[{"bar_id":"B018-T1","bar_mark":"T16","role":"top_longitudinal","diameter_mm":16,"layer":1,"x_from_left_mm":60,"y_from_top_mm":60,"start_station_mm":0,"end_station_mm":6000,"design_stress_n_per_mm2":361.05,"bundle_size":1},{"bar_id":"B018-T2","bar_mark":"T16","role":"top_longitudinal","diameter_mm":16,"layer":1,"x_from_left_mm":240,"y_from_top_mm":60,"start_station_mm":0,"end_station_mm":6000,"design_stress_n_per_mm2":361.05,"bundle_size":1},{"bar_id":"B018-B1","bar_mark":"B20","role":"bottom_longitudinal","diameter_mm":20,"layer":1,"x_from_left_mm":60,"y_from_top_mm":440,"start_station_mm":0,"end_station_mm":6000,"design_stress_n_per_mm2":361.05,"bundle_size":1},{"bar_id":"B018-B2","bar_mark":"B20","role":"bottom_longitudinal","diameter_mm":20,"layer":1,"x_from_left_mm":150,"y_from_top_mm":440,"start_station_mm":0,"end_station_mm":6000,"design_stress_n_per_mm2":361.05,"bundle_size":1},{"bar_id":"B018-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018-ULS-S1"}],"splices":[{"splice_id":"SP-1","kind":"lap","bar_ids":["B018-B1","B018-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</si>
  <si>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018","station_id":"MID","reinforcement_revision_id":"B018-reinforcement-r1","section_width_mm":300,"section_depth_mm":500,"nominal_cover_mm":25,"maximum_aggregate_size_mm":20,"bars":[{"bar_id":"B018-T1","bar_mark":"T16","role":"top_longitudinal","diameter_mm":16,"layer":1,"x_from_left_mm":60,"y_from_top_mm":60,"start_station_mm":0,"end_station_mm":6000,"design_stress_n_per_mm2":361.05,"bundle_size":1},{"bar_id":"B018-T2","bar_mark":"T16","role":"top_longitudinal","diameter_mm":16,"layer":1,"x_from_left_mm":240,"y_from_top_mm":60,"start_station_mm":0,"end_station_mm":6000,"design_stress_n_per_mm2":361.05,"bundle_size":1},{"bar_id":"B018-B1","bar_mark":"B20","role":"bottom_longitudinal","diameter_mm":20,"layer":1,"x_from_left_mm":60,"y_from_top_mm":440,"start_station_mm":0,"end_station_mm":6000,"design_stress_n_per_mm2":361.05,"bundle_size":1},{"bar_id":"B018-B2","bar_mark":"B20","role":"bottom_longitudinal","diameter_mm":20,"layer":1,"x_from_left_mm":150,"y_from_top_mm":440,"start_station_mm":0,"end_station_mm":6000,"design_stress_n_per_mm2":361.05,"bundle_size":1},{"bar_id":"B018-B3","bar_mark":"B20","role":"bottom_longitudinal","diameter_mm":20,"layer":1,"x_from_left_mm":240,"y_from_top_mm":440,"start_station_mm":0,"end_station_mm":6000,"design_stress_n_per_mm2":361.05,"bundle_size":1}],"links":[{"link_id":"B018-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018-placement-r1"},"require_placement_plan":true,"code_data_revision_id":"is456-amd6-wp05-v1"}</t>
  </si>
  <si>
    <t>{"member_id":"B019","local_axes":{"axis_id":"B019-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</si>
  <si>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019-T1","diameter_mm":16,"x_from_left_mm":60,"y_from_top_mm":60,"face":"top","layer":1},{"bar_id":"B019-T2","diameter_mm":16,"x_from_left_mm":240,"y_from_top_mm":60,"face":"top","layer":1},{"bar_id":"B019-B1","diameter_mm":20,"x_from_left_mm":60,"y_from_top_mm":440,"face":"bottom","layer":1},{"bar_id":"B019-B2","diameter_mm":20,"x_from_left_mm":150,"y_from_top_mm":440,"face":"bottom","layer":1},{"bar_id":"B019-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</si>
  <si>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019-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</si>
  <si>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019-ULS-S1","station_id":"S1","action_basis":"static_concurrent","v2_kn":50,"v3_kn":0,"torsion_kn_m":3,"m2_kn_m":0,"m3_kn_m":50,"source_identity":"B019-actions-r1:ULS"},"flexural_capacity":{"profile_id":"IS456-WP01","section_kind":"rectangular","web_width_mm":300,"depth_mm":500,"concrete_strength_n_per_mm2":25,"steel_yield_strength_n_per_mm2":415,"bars":[{"bar_id":"B019-T1","diameter_mm":16,"x_from_left_mm":60,"y_from_top_mm":60,"face":"top","layer":1},{"bar_id":"B019-T2","diameter_mm":16,"x_from_left_mm":240,"y_from_top_mm":60,"face":"top","layer":1},{"bar_id":"B019-B1","diameter_mm":20,"x_from_left_mm":60,"y_from_top_mm":440,"face":"bottom","layer":1},{"bar_id":"B019-B2","diameter_mm":20,"x_from_left_mm":150,"y_from_top_mm":440,"face":"bottom","layer":1},{"bar_id":"B019-B3","diameter_mm":20,"x_from_left_mm":240,"y_from_top_mm":440,"face":"bottom","layer":1}],"tension_face":"bottom","flange_width_mm":null,"flange_thickness_mm":null,"axial_force_kn":0,"code_data_revision_id":"is456-wp01-v1"},"link":{"link_id":"B019-L8","diameter_mm":8,"legs_v2":2,"legs_v3":2,"spacing_mm":150,"steel_yield_strength_n_per_mm2":415,"closed":true,"centre_width_mm":242,"centre_depth_mm":442},"perimeter_bar_ids":["B019-T1","B019-T2","B019-B1","B019-B3"],"code_data_revision_id":"is456-wp02-v1"}</t>
  </si>
  <si>
    <t>{"profile_id":"IS456-WP04","method":"calculated_components","screening":null,"calculated":{"service_action_snapshot_id":"B019-SLS-snapshot","total_service_action_row_ids":["B019-SLS-total"],"sustained_service_action_row_ids":["B019-SLS-sustained"],"analysis_result_id":"B019-analysis-SLS","reinforcement_revision_id":"B019-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</si>
  <si>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019","station_id":"S1","service_action_row_id":"B019-SLS-service","reinforcement_revision_id":"B019-reinforcement-r1","section_width_mm":300,"section_depth_mm":500,"neutral_axis_depth_from_compression_face_mm":200,"tension_face":"bottom","bars":[{"bar_id":"B019-B1","diameter_mm":20,"x_from_left_mm":60,"y_from_top_mm":440,"face":"bottom","layer":1},{"bar_id":"B019-B2","diameter_mm":20,"x_from_left_mm":150,"y_from_top_mm":440,"face":"bottom","layer":1},{"bar_id":"B019-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</si>
  <si>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019","reinforcement_revision_id":"B019-reinforcement-r1","paths":[{"bar_id":"B019-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019-ULS-right"]}}],"code_data_revision_id":"is456-amd6-wp05-v1"}</t>
  </si>
  <si>
    <t>{"profile_id":"IS456-WP05","member_id":"B019","physical_span_id":"SPAN-1","demand_revision_id":"B019-actions-r1","reinforcement_revision_id":"B019-reinforcement-r1","member_start_x_mm":0,"member_end_x_mm":6000,"effective_depth_mm":440,"concrete_grade_n_per_mm2":25,"steel_yield_strength_n_per_mm2":415,"bar_surface":"deformed","bars":[{"bar_id":"B019-T1","bar_mark":"T16","role":"top_longitudinal","diameter_mm":16,"layer":1,"x_from_left_mm":60,"y_from_top_mm":60,"start_station_mm":0,"end_station_mm":6000,"design_stress_n_per_mm2":361.05,"bundle_size":1},{"bar_id":"B019-T2","bar_mark":"T16","role":"top_longitudinal","diameter_mm":16,"layer":1,"x_from_left_mm":240,"y_from_top_mm":60,"start_station_mm":0,"end_station_mm":6000,"design_stress_n_per_mm2":361.05,"bundle_size":1},{"bar_id":"B019-B1","bar_mark":"B20","role":"bottom_longitudinal","diameter_mm":20,"layer":1,"x_from_left_mm":60,"y_from_top_mm":440,"start_station_mm":0,"end_station_mm":6000,"design_stress_n_per_mm2":361.05,"bundle_size":1},{"bar_id":"B019-B2","bar_mark":"B20","role":"bottom_longitudinal","diameter_mm":20,"layer":1,"x_from_left_mm":150,"y_from_top_mm":440,"start_station_mm":0,"end_station_mm":6000,"design_stress_n_per_mm2":361.05,"bundle_size":1},{"bar_id":"B019-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019-ULS-S1"}],"splices":[{"splice_id":"SP-1","kind":"lap","bar_ids":["B019-B1","B019-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</si>
  <si>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019","station_id":"MID","reinforcement_revision_id":"B019-reinforcement-r1","section_width_mm":300,"section_depth_mm":500,"nominal_cover_mm":25,"maximum_aggregate_size_mm":20,"bars":[{"bar_id":"B019-T1","bar_mark":"T16","role":"top_longitudinal","diameter_mm":16,"layer":1,"x_from_left_mm":60,"y_from_top_mm":60,"start_station_mm":0,"end_station_mm":6000,"design_stress_n_per_mm2":361.05,"bundle_size":1},{"bar_id":"B019-T2","bar_mark":"T16","role":"top_longitudinal","diameter_mm":16,"layer":1,"x_from_left_mm":240,"y_from_top_mm":60,"start_station_mm":0,"end_station_mm":6000,"design_stress_n_per_mm2":361.05,"bundle_size":1},{"bar_id":"B019-B1","bar_mark":"B20","role":"bottom_longitudinal","diameter_mm":20,"layer":1,"x_from_left_mm":60,"y_from_top_mm":440,"start_station_mm":0,"end_station_mm":6000,"design_stress_n_per_mm2":361.05,"bundle_size":1},{"bar_id":"B019-B2","bar_mark":"B20","role":"bottom_longitudinal","diameter_mm":20,"layer":1,"x_from_left_mm":150,"y_from_top_mm":440,"start_station_mm":0,"end_station_mm":6000,"design_stress_n_per_mm2":361.05,"bundle_size":1},{"bar_id":"B019-B3","bar_mark":"B20","role":"bottom_longitudinal","diameter_mm":20,"layer":1,"x_from_left_mm":240,"y_from_top_mm":440,"start_station_mm":0,"end_station_mm":6000,"design_stress_n_per_mm2":361.05,"bundle_size":1}],"links":[{"link_id":"B019-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019-placement-r1"},"require_placement_plan":true,"code_data_revision_id":"is456-amd6-wp05-v1"}</t>
  </si>
  <si>
    <t>{"member_id":"B020","local_axes":{"axis_id":"B020-local","e1":{"x":1,"y":0,"z":0},"e2":{"x":0,"y":1,"z":0},"e3":{"x":0,"y":0,"z":1}},"supports":[{"support_id":"A","centre_mm":0,"left_face_mm":-150,"right_face_mm":150},{"support_id":"B","centre_mm":6000,"left_face_mm":5850,"right_face_mm":6150}],"spans":[{"span_id":"SPAN-1","start_support_id":"A","end_support_id":"B","effective_depth_mm":440,"section_regions":[{"region_id":"REGION-1","section_id":"R300X500","start_mm":0,"end_mm":6000}]}],"analysis_elements":[{"analysis_element_id":"E1","physical_span_id":"SPAN-1","start_mm":0,"end_mm":6000}]}</t>
  </si>
  <si>
    <t>{"capacity":{"profile_id":"IS456-WP01","section_kind":"rectangular","web_width_mm":300,"depth_mm":500,"concrete_strength_n_per_mm2":25,"steel_yield_strength_n_per_mm2":415,"bars":[{"bar_id":"B020-T1","diameter_mm":16,"x_from_left_mm":60,"y_from_top_mm":60,"face":"top","layer":1},{"bar_id":"B020-T2","diameter_mm":16,"x_from_left_mm":240,"y_from_top_mm":60,"face":"top","layer":1},{"bar_id":"B020-B1","diameter_mm":20,"x_from_left_mm":60,"y_from_top_mm":440,"face":"bottom","layer":1},{"bar_id":"B020-B2","diameter_mm":20,"x_from_left_mm":150,"y_from_top_mm":440,"face":"bottom","layer":1},{"bar_id":"B020-B3","diameter_mm":20,"x_from_left_mm":240,"y_from_top_mm":440,"face":"bottom","layer":1}],"tension_face":"bottom","flange_width_mm":null,"flange_thickness_mm":null,"axial_force_kn":0,"code_data_revision_id":"is456-wp01-v1"},"positive_design_moment_kn_m":80,"negative_design_moment_kn_m":-40}</t>
  </si>
  <si>
    <t>{"capacities":[{"profile_id":"IS456-WP02","axis":"v2","resisting_width_mm":300,"effective_depth_mm":440,"concrete_strength_n_per_mm2":25,"longitudinal_tension_area_mm2":942.4777960769379,"link":{"link_id":"B020-L8","diameter_mm":8,"legs_v2":2,"legs_v3":2,"spacing_mm":150,"steel_yield_strength_n_per_mm2":415,"closed":true,"centre_width_mm":242,"centre_depth_mm":442},"code_data_revision_id":"is456-wp02-v1"}],"demands":[{"station_id":"S1","axis":"v2","shear_kn":80}]}</t>
  </si>
  <si>
    <t>{"profile_id":"IS456-WP02","action":{"row_id":"B020-ULS-S1","station_id":"S1","action_basis":"static_concurrent","v2_kn":50,"v3_kn":0,"torsion_kn_m":3,"m2_kn_m":0,"m3_kn_m":50,"source_identity":"B020-actions-r1:ULS"},"flexural_capacity":{"profile_id":"IS456-WP01","section_kind":"rectangular","web_width_mm":300,"depth_mm":500,"concrete_strength_n_per_mm2":25,"steel_yield_strength_n_per_mm2":415,"bars":[{"bar_id":"B020-T1","diameter_mm":16,"x_from_left_mm":60,"y_from_top_mm":60,"face":"top","layer":1},{"bar_id":"B020-T2","diameter_mm":16,"x_from_left_mm":240,"y_from_top_mm":60,"face":"top","layer":1},{"bar_id":"B020-B1","diameter_mm":20,"x_from_left_mm":60,"y_from_top_mm":440,"face":"bottom","layer":1},{"bar_id":"B020-B2","diameter_mm":20,"x_from_left_mm":150,"y_from_top_mm":440,"face":"bottom","layer":1},{"bar_id":"B020-B3","diameter_mm":20,"x_from_left_mm":240,"y_from_top_mm":440,"face":"bottom","layer":1}],"tension_face":"bottom","flange_width_mm":null,"flange_thickness_mm":null,"axial_force_kn":0,"code_data_revision_id":"is456-wp01-v1"},"link":{"link_id":"B020-L8","diameter_mm":8,"legs_v2":2,"legs_v3":2,"spacing_mm":150,"steel_yield_strength_n_per_mm2":415,"closed":true,"centre_width_mm":242,"centre_depth_mm":442},"perimeter_bar_ids":["B020-T1","B020-T2","B020-B1","B020-B3"],"code_data_revision_id":"is456-wp02-v1"}</t>
  </si>
  <si>
    <t>{"profile_id":"IS456-WP04","method":"calculated_components","screening":null,"calculated":{"service_action_snapshot_id":"B020-SLS-snapshot","total_service_action_row_ids":["B020-SLS-total"],"sustained_service_action_row_ids":["B020-SLS-sustained"],"analysis_result_id":"B020-analysis-SLS","reinforcement_revision_id":"B020-reinforcement-r1","effective_span_mm":6000,"instantaneous_total_deflection_mm":8,"instantaneous_sustained_deflection_mm":5,"creep_multiplier":1.2,"shrinkage_deflection_mm":1,"finish_installation_age_days":90,"deflection_at_finish_installation_mm":4,"age_at_loading_days":28,"assessment_age_days":1853,"sustained_duration_days":1825,"relative_humidity_percent":60,"notional_size_mm":150,"stiffness_method":"effective-inertia:reviewed","cracking_method":"cracked-section:reviewed","creep_method":"creep-factor:reviewed","shrinkage_method":"shrinkage-curvature:reviewed"},"total_limit":{"profile_id":"IS456-WP04","span_mm":6000,"criterion":"total_final","selected_source":"code","project_limit_mm":null,"supplied_limit_mm":null,"code_data_revision_id":"is456-wp04-v1"},"after_finishes_limit":{"profile_id":"IS456-WP04","span_mm":6000,"criterion":"after_finishes","selected_source":"code","project_limit_mm":null,"supplied_limit_mm":null,"code_data_revision_id":"is456-wp04-v1"},"code_data_revision_id":"is456-wp04-v1"}</t>
  </si>
  <si>
    <t>{"profile_id":"IS456-WP04","member_id":"B020","station_id":"S1","service_action_row_id":"B020-SLS-service","reinforcement_revision_id":"B020-reinforcement-r1","section_width_mm":300,"section_depth_mm":500,"neutral_axis_depth_from_compression_face_mm":200,"tension_face":"bottom","bars":[{"bar_id":"B020-B1","diameter_mm":20,"x_from_left_mm":60,"y_from_top_mm":440,"face":"bottom","layer":1},{"bar_id":"B020-B2","diameter_mm":20,"x_from_left_mm":150,"y_from_top_mm":440,"face":"bottom","layer":1},{"bar_id":"B020-B3","diameter_mm":20,"x_from_left_mm":240,"y_from_top_mm":440,"face":"bottom","layer":1}],"surface_point_x_from_left_mm":150,"service_steel_stress_n_per_mm2":200,"steel_yield_strength_n_per_mm2":415,"steel_modulus_n_per_mm2":200000,"mean_strain_at_tension_surface":0.0006,"limit":{"profile_id":"IS456-WP04","exposure_class":"mild","cracking_harmful":false,"selected_source":"code","project_limit_mm":null,"supplied_limit_mm":null,"code_data_revision_id":"is456-wp04-v1"},"code_data_revision_id":"is456-wp04-v1"}</t>
  </si>
  <si>
    <t>{"profile_id":"IS456-WP05","member_id":"B020","reinforcement_revision_id":"B020-reinforcement-r1","paths":[{"bar_id":"B020-B1","critical_section_id":"right-face","location":"simple_support","direction":"increasing_x","path_start_x_mm":0,"path_end_x_mm":6000,"critical_section_x_mm":5800,"support_id":"B","support_near_face_x_mm":5800,"support_centre_x_mm":5900,"bends":[],"bend_schedule_reference":null,"development":{"profile_id":"IS456-WP05","bar_diameter_mm":20,"bar_stress_n_per_mm2":361.05,"steel_yield_strength_n_per_mm2":415,"concrete_grade_n_per_mm2":25,"bar_surface":"deformed","stress_state":"tension","bundle_size":1,"code_data_revision_id":"is456-amd6-wp05-v1"},"simple_support_evidence":{"moment_resistance_nmm":85000000,"support_shear_n":100000,"action_row_ids":["B020-ULS-right"]}}],"code_data_revision_id":"is456-amd6-wp05-v1"}</t>
  </si>
  <si>
    <t>{"profile_id":"IS456-WP05","member_id":"B020","physical_span_id":"SPAN-1","demand_revision_id":"B020-actions-r1","reinforcement_revision_id":"B020-reinforcement-r1","member_start_x_mm":0,"member_end_x_mm":6000,"effective_depth_mm":440,"concrete_grade_n_per_mm2":25,"steel_yield_strength_n_per_mm2":415,"bar_surface":"deformed","bars":[{"bar_id":"B020-T1","bar_mark":"T16","role":"top_longitudinal","diameter_mm":16,"layer":1,"x_from_left_mm":60,"y_from_top_mm":60,"start_station_mm":0,"end_station_mm":6000,"design_stress_n_per_mm2":361.05,"bundle_size":1},{"bar_id":"B020-T2","bar_mark":"T16","role":"top_longitudinal","diameter_mm":16,"layer":1,"x_from_left_mm":240,"y_from_top_mm":60,"start_station_mm":0,"end_station_mm":6000,"design_stress_n_per_mm2":361.05,"bundle_size":1},{"bar_id":"B020-B1","bar_mark":"B20","role":"bottom_longitudinal","diameter_mm":20,"layer":1,"x_from_left_mm":60,"y_from_top_mm":440,"start_station_mm":0,"end_station_mm":6000,"design_stress_n_per_mm2":361.05,"bundle_size":1},{"bar_id":"B020-B2","bar_mark":"B20","role":"bottom_longitudinal","diameter_mm":20,"layer":1,"x_from_left_mm":150,"y_from_top_mm":440,"start_station_mm":0,"end_station_mm":6000,"design_stress_n_per_mm2":361.05,"bundle_size":1},{"bar_id":"B020-B3","bar_mark":"B20","role":"bottom_longitudinal","diameter_mm":20,"layer":1,"x_from_left_mm":240,"y_from_top_mm":440,"start_station_mm":0,"end_station_mm":6000,"design_stress_n_per_mm2":361.05,"bundle_size":1}],"demands":[{"station_id":"S1","station_x_mm":3000,"role":"bottom_longitudinal","required_area_mm2":600,"shear_demand_n":80000,"shear_capacity_n":120000,"action_row_id":"B020-ULS-S1"}],"splices":[{"splice_id":"SP-1","kind":"lap","bar_ids":["B020-B1","B020-B2"],"start_x_mm":2500,"end_x_mm":3500,"stress_state":"tension","direct_tension":false,"percentage_spliced_at_section":50,"stagger_group":"STAGGER-A","coupler_qualification_reference":null,"installation_reference":null}],"curtailments":[],"prohibited_splice_zones":null,"code_data_revision_id":"is456-amd6-wp05-v1"}</t>
  </si>
  <si>
    <t>{"profile_id":"IS456-WP05","member_id":"B020","station_id":"MID","reinforcement_revision_id":"B020-reinforcement-r1","section_width_mm":300,"section_depth_mm":500,"nominal_cover_mm":25,"maximum_aggregate_size_mm":20,"bars":[{"bar_id":"B020-T1","bar_mark":"T16","role":"top_longitudinal","diameter_mm":16,"layer":1,"x_from_left_mm":60,"y_from_top_mm":60,"start_station_mm":0,"end_station_mm":6000,"design_stress_n_per_mm2":361.05,"bundle_size":1},{"bar_id":"B020-T2","bar_mark":"T16","role":"top_longitudinal","diameter_mm":16,"layer":1,"x_from_left_mm":240,"y_from_top_mm":60,"start_station_mm":0,"end_station_mm":6000,"design_stress_n_per_mm2":361.05,"bundle_size":1},{"bar_id":"B020-B1","bar_mark":"B20","role":"bottom_longitudinal","diameter_mm":20,"layer":1,"x_from_left_mm":60,"y_from_top_mm":440,"start_station_mm":0,"end_station_mm":6000,"design_stress_n_per_mm2":361.05,"bundle_size":1},{"bar_id":"B020-B2","bar_mark":"B20","role":"bottom_longitudinal","diameter_mm":20,"layer":1,"x_from_left_mm":150,"y_from_top_mm":440,"start_station_mm":0,"end_station_mm":6000,"design_stress_n_per_mm2":361.05,"bundle_size":1},{"bar_id":"B020-B3","bar_mark":"B20","role":"bottom_longitudinal","diameter_mm":20,"layer":1,"x_from_left_mm":240,"y_from_top_mm":440,"start_station_mm":0,"end_station_mm":6000,"design_stress_n_per_mm2":361.05,"bundle_size":1}],"links":[{"link_id":"B020-L8","diameter_mm":8,"left_centre_x_mm":29,"right_centre_x_mm":271,"top_centre_y_mm":29,"bottom_centre_y_mm":471,"internal_bend_radius_mm":16,"closed":true}],"required_roles":["top_longitudinal","bottom_longitudinal"],"vertical_alignment_tolerance_mm":10,"obstacles":null,"placement_opening":{"opening_id":"PO-1","clear_width_mm":260,"clear_height_mm":460,"sequence_reference":"B020-placement-r1"},"require_placement_plan":true,"code_data_revision_id":"is456-amd6-wp05-v1"}</t>
  </si>
  <si>
    <t>StructAutomate standalone beam workbook</t>
  </si>
  <si>
    <t>Template</t>
  </si>
  <si>
    <t>Workflow</t>
  </si>
  <si>
    <t>Validate -&gt; Calculate -&gt; Optimize -&gt; Export -&gt; Diagnose</t>
  </si>
  <si>
    <t>Members</t>
  </si>
  <si>
    <t>Operation rows</t>
  </si>
  <si>
    <t>Adapter</t>
  </si>
  <si>
    <t>20 mm bar area (mm2)</t>
  </si>
  <si>
    <t>Units</t>
  </si>
  <si>
    <t>mm, N, Nmm, N/mm2</t>
  </si>
  <si>
    <t>Input tables</t>
  </si>
  <si>
    <t>StructuralProject; StructuralMembers; StructuralOperations</t>
  </si>
  <si>
    <t>Result tables</t>
  </si>
  <si>
    <t>StructuralResults; StructuralFreshness; StructuralReceipts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</si>
</sst>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343E7B-C21E-4B6D-969F-815FED5DD18A}" name="StructuralOperations" displayName="StructuralOperations" ref="A1:K201" totalsRowShown="0" headerRowDxfId="0">
  <autoFilter ref="A1:K201" xr:uid="{30343E7B-C21E-4B6D-969F-815FED5DD18A}"/>
  <tableColumns count="11">
    <tableColumn id="1" xr3:uid="{7A23831E-7018-47A1-B6C2-A7E7EAAE6A67}" name="member_id" dataDxfId="11"/>
    <tableColumn id="2" xr3:uid="{9CC48334-B84B-4EEF-9075-19D2E37B9A29}" name="request_id" dataDxfId="10"/>
    <tableColumn id="3" xr3:uid="{6B323249-C7BC-4036-AB28-2F483C8D31A2}" name="row_id" dataDxfId="9"/>
    <tableColumn id="4" xr3:uid="{F587F54B-0CC5-4B89-A194-12EBF4CB4D22}" name="phase" dataDxfId="8"/>
    <tableColumn id="5" xr3:uid="{2396D627-D2B6-4F8D-ABF3-ECBB7387CEF4}" name="operation_semantic_id" dataDxfId="7"/>
    <tableColumn id="6" xr3:uid="{37C69374-5FC4-41B2-9186-7019CB815F49}" name="request_json" dataDxfId="6"/>
    <tableColumn id="7" xr3:uid="{C1E4F30B-B8D5-415E-BE90-89987357E712}" name="rule_id" dataDxfId="5"/>
    <tableColumn id="8" xr3:uid="{A0A20633-3299-4B81-A173-BDC6BCFF1272}" name="scope_id" dataDxfId="4"/>
    <tableColumn id="9" xr3:uid="{788EF6FC-CBE5-4661-BD86-1982B3A820B2}" name="check_scope" dataDxfId="3"/>
    <tableColumn id="10" xr3:uid="{A8ECC28C-67CA-422B-88E5-F659B9EB605E}" name="expected_applicability" dataDxfId="2"/>
    <tableColumn id="11" xr3:uid="{C2CB0099-DE8C-461E-9A11-C2F274BC18BA}" name="code_data_binding_i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F9866F-3D30-434E-BF35-175547E2F4B2}" name="StructuralMembers" displayName="StructuralMembers" ref="A1:I21" totalsRowShown="0" headerRowDxfId="12">
  <autoFilter ref="A1:I21" xr:uid="{12F9866F-3D30-434E-BF35-175547E2F4B2}"/>
  <tableColumns count="9">
    <tableColumn id="1" xr3:uid="{86EA0CFF-1EBE-47BE-A857-0A1870A4C4B8}" name="member_id" dataDxfId="21"/>
    <tableColumn id="2" xr3:uid="{A1792D95-82C9-478D-BAFC-ACD37D724379}" name="request_id" dataDxfId="20"/>
    <tableColumn id="3" xr3:uid="{A0D097DD-DF73-4B12-8C2F-8FA700DB796F}" name="member_design_seed_json" dataDxfId="19"/>
    <tableColumn id="4" xr3:uid="{57F5D3E9-7318-4799-8CDA-C21BE5161B0C}" name="bar_path_request_json" dataDxfId="18"/>
    <tableColumn id="5" xr3:uid="{3E68B5B0-0FBB-45F7-B23E-181B1843642B}" name="bbs_seed_json" dataDxfId="17"/>
    <tableColumn id="6" xr3:uid="{BFDA89DD-BD4A-4112-A987-C2BB45A5C9D9}" name="quantity_seed_json" dataDxfId="16"/>
    <tableColumn id="7" xr3:uid="{9934E9D5-F858-4E40-BEBD-782FDC02E1C5}" name="cost_seed_json" dataDxfId="15"/>
    <tableColumn id="8" xr3:uid="{DE541789-8C06-4654-9075-24CE906BD926}" name="package_seed_json" dataDxfId="14"/>
    <tableColumn id="9" xr3:uid="{0FBC735B-6214-4B53-9197-AC8972C5079A}" name="optimization_seed_json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A3EB8-1A85-4D1D-B4C6-4963AE427197}" name="StructuralProject" displayName="StructuralProject" ref="A1:D2" totalsRowShown="0" headerRowDxfId="22">
  <autoFilter ref="A1:D2" xr:uid="{432A3EB8-1A85-4D1D-B4C6-4963AE427197}"/>
  <tableColumns count="4">
    <tableColumn id="1" xr3:uid="{5778B9ED-98E3-4CBE-B8E3-0456D33BF7B8}" name="template_id" dataDxfId="26"/>
    <tableColumn id="2" xr3:uid="{34AF50AB-D8C5-4178-A91A-9A566E908644}" name="workbook_id" dataDxfId="25"/>
    <tableColumn id="3" xr3:uid="{63AD7076-0070-4556-A203-0417D2AA2AC9}" name="project_id" dataDxfId="24"/>
    <tableColumn id="4" xr3:uid="{0E20111D-8B8C-4E66-A252-81DACE9C2BEF}" name="project_request_json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C781-A26D-4773-A724-492743383A94}">
  <dimension ref="A1:B10"/>
  <sheetViews>
    <sheetView tabSelected="1" workbookViewId="0"/>
  </sheetViews>
  <sheetFormatPr defaultRowHeight="14.5" x14ac:dyDescent="0.35"/>
  <sheetData>
    <row r="1" spans="1:2" x14ac:dyDescent="0.35">
      <c r="A1" s="2" t="s">
        <v>424</v>
      </c>
      <c r="B1" s="2"/>
    </row>
    <row r="2" spans="1:2" x14ac:dyDescent="0.35">
      <c r="A2" s="2" t="s">
        <v>425</v>
      </c>
      <c r="B2" s="2" t="s">
        <v>4</v>
      </c>
    </row>
    <row r="3" spans="1:2" x14ac:dyDescent="0.35">
      <c r="A3" s="2" t="s">
        <v>426</v>
      </c>
      <c r="B3" s="2" t="s">
        <v>427</v>
      </c>
    </row>
    <row r="4" spans="1:2" x14ac:dyDescent="0.35">
      <c r="A4" s="2" t="s">
        <v>428</v>
      </c>
      <c r="B4" s="2">
        <v>20</v>
      </c>
    </row>
    <row r="5" spans="1:2" x14ac:dyDescent="0.35">
      <c r="A5" s="2" t="s">
        <v>429</v>
      </c>
      <c r="B5" s="2">
        <v>200</v>
      </c>
    </row>
    <row r="6" spans="1:2" x14ac:dyDescent="0.35">
      <c r="A6" s="2" t="s">
        <v>430</v>
      </c>
      <c r="B6" s="2" t="str">
        <f>_xll.STR.INFO.VERSION()</f>
        <v>StructuralEngineering.ExcelDna 0.1.0</v>
      </c>
    </row>
    <row r="7" spans="1:2" x14ac:dyDescent="0.35">
      <c r="A7" s="2" t="s">
        <v>431</v>
      </c>
      <c r="B7" s="2">
        <f>_xll.STR.REBAR.AREA(20)</f>
        <v>314.15926535897933</v>
      </c>
    </row>
    <row r="8" spans="1:2" x14ac:dyDescent="0.35">
      <c r="A8" s="2" t="s">
        <v>432</v>
      </c>
      <c r="B8" s="2" t="s">
        <v>433</v>
      </c>
    </row>
    <row r="9" spans="1:2" x14ac:dyDescent="0.35">
      <c r="A9" s="2" t="s">
        <v>434</v>
      </c>
      <c r="B9" s="2" t="s">
        <v>435</v>
      </c>
    </row>
    <row r="10" spans="1:2" x14ac:dyDescent="0.35">
      <c r="A10" s="2" t="s">
        <v>436</v>
      </c>
      <c r="B10" s="2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7152-83AC-4CC6-8214-457DCBE95846}">
  <dimension ref="A1:K201"/>
  <sheetViews>
    <sheetView workbookViewId="0"/>
  </sheetViews>
  <sheetFormatPr defaultRowHeight="14.5" x14ac:dyDescent="0.35"/>
  <cols>
    <col min="1" max="1" width="12.26953125" customWidth="1"/>
    <col min="2" max="2" width="11.6328125" customWidth="1"/>
    <col min="5" max="5" width="21.90625" customWidth="1"/>
    <col min="6" max="6" width="13.54296875" customWidth="1"/>
    <col min="8" max="8" width="10.26953125" customWidth="1"/>
    <col min="9" max="9" width="13.7265625" customWidth="1"/>
    <col min="10" max="10" width="21.90625" customWidth="1"/>
    <col min="11" max="11" width="21.08984375" customWidth="1"/>
  </cols>
  <sheetData>
    <row r="1" spans="1:11" x14ac:dyDescent="0.35">
      <c r="A1" s="1" t="s">
        <v>8</v>
      </c>
      <c r="B1" s="1" t="s">
        <v>9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</row>
    <row r="2" spans="1:11" x14ac:dyDescent="0.35">
      <c r="A2" s="1" t="s">
        <v>17</v>
      </c>
      <c r="B2" s="1" t="s">
        <v>18</v>
      </c>
      <c r="C2" s="1" t="s">
        <v>206</v>
      </c>
      <c r="D2" s="1" t="s">
        <v>206</v>
      </c>
      <c r="E2" s="1" t="s">
        <v>207</v>
      </c>
      <c r="F2" s="1" t="s">
        <v>208</v>
      </c>
      <c r="G2" s="1" t="s">
        <v>209</v>
      </c>
      <c r="H2" s="1" t="s">
        <v>209</v>
      </c>
      <c r="I2" s="1" t="s">
        <v>209</v>
      </c>
      <c r="J2" s="1" t="s">
        <v>209</v>
      </c>
      <c r="K2" s="1" t="s">
        <v>209</v>
      </c>
    </row>
    <row r="3" spans="1:11" x14ac:dyDescent="0.35">
      <c r="A3" s="1" t="s">
        <v>17</v>
      </c>
      <c r="B3" s="1" t="s">
        <v>18</v>
      </c>
      <c r="C3" s="1" t="s">
        <v>210</v>
      </c>
      <c r="D3" s="1" t="s">
        <v>211</v>
      </c>
      <c r="E3" s="1" t="s">
        <v>212</v>
      </c>
      <c r="F3" s="1" t="s">
        <v>213</v>
      </c>
      <c r="G3" s="1" t="s">
        <v>210</v>
      </c>
      <c r="H3" s="1" t="s">
        <v>17</v>
      </c>
      <c r="I3" s="1" t="s">
        <v>214</v>
      </c>
      <c r="J3" s="1" t="s">
        <v>215</v>
      </c>
      <c r="K3" s="1" t="s">
        <v>216</v>
      </c>
    </row>
    <row r="4" spans="1:11" x14ac:dyDescent="0.35">
      <c r="A4" s="1" t="s">
        <v>17</v>
      </c>
      <c r="B4" s="1" t="s">
        <v>18</v>
      </c>
      <c r="C4" s="1" t="s">
        <v>217</v>
      </c>
      <c r="D4" s="1" t="s">
        <v>211</v>
      </c>
      <c r="E4" s="1" t="s">
        <v>218</v>
      </c>
      <c r="F4" s="1" t="s">
        <v>219</v>
      </c>
      <c r="G4" s="1" t="s">
        <v>217</v>
      </c>
      <c r="H4" s="1" t="s">
        <v>220</v>
      </c>
      <c r="I4" s="1" t="s">
        <v>221</v>
      </c>
      <c r="J4" s="1" t="s">
        <v>215</v>
      </c>
      <c r="K4" s="1" t="s">
        <v>222</v>
      </c>
    </row>
    <row r="5" spans="1:11" x14ac:dyDescent="0.35">
      <c r="A5" s="1" t="s">
        <v>17</v>
      </c>
      <c r="B5" s="1" t="s">
        <v>18</v>
      </c>
      <c r="C5" s="1" t="s">
        <v>223</v>
      </c>
      <c r="D5" s="1" t="s">
        <v>211</v>
      </c>
      <c r="E5" s="1" t="s">
        <v>224</v>
      </c>
      <c r="F5" s="1" t="s">
        <v>225</v>
      </c>
      <c r="G5" s="1" t="s">
        <v>223</v>
      </c>
      <c r="H5" s="1" t="s">
        <v>220</v>
      </c>
      <c r="I5" s="1" t="s">
        <v>221</v>
      </c>
      <c r="J5" s="1" t="s">
        <v>215</v>
      </c>
      <c r="K5" s="1" t="s">
        <v>222</v>
      </c>
    </row>
    <row r="6" spans="1:11" x14ac:dyDescent="0.35">
      <c r="A6" s="1" t="s">
        <v>17</v>
      </c>
      <c r="B6" s="1" t="s">
        <v>18</v>
      </c>
      <c r="C6" s="1" t="s">
        <v>226</v>
      </c>
      <c r="D6" s="1" t="s">
        <v>211</v>
      </c>
      <c r="E6" s="1" t="s">
        <v>227</v>
      </c>
      <c r="F6" s="1" t="s">
        <v>228</v>
      </c>
      <c r="G6" s="1" t="s">
        <v>226</v>
      </c>
      <c r="H6" s="1" t="s">
        <v>229</v>
      </c>
      <c r="I6" s="1" t="s">
        <v>230</v>
      </c>
      <c r="J6" s="1" t="s">
        <v>215</v>
      </c>
      <c r="K6" s="1" t="s">
        <v>231</v>
      </c>
    </row>
    <row r="7" spans="1:11" x14ac:dyDescent="0.35">
      <c r="A7" s="1" t="s">
        <v>17</v>
      </c>
      <c r="B7" s="1" t="s">
        <v>18</v>
      </c>
      <c r="C7" s="1" t="s">
        <v>232</v>
      </c>
      <c r="D7" s="1" t="s">
        <v>211</v>
      </c>
      <c r="E7" s="1" t="s">
        <v>233</v>
      </c>
      <c r="F7" s="1" t="s">
        <v>234</v>
      </c>
      <c r="G7" s="1" t="s">
        <v>232</v>
      </c>
      <c r="H7" s="1" t="s">
        <v>220</v>
      </c>
      <c r="I7" s="1" t="s">
        <v>221</v>
      </c>
      <c r="J7" s="1" t="s">
        <v>215</v>
      </c>
      <c r="K7" s="1" t="s">
        <v>231</v>
      </c>
    </row>
    <row r="8" spans="1:11" x14ac:dyDescent="0.35">
      <c r="A8" s="1" t="s">
        <v>17</v>
      </c>
      <c r="B8" s="1" t="s">
        <v>18</v>
      </c>
      <c r="C8" s="1" t="s">
        <v>235</v>
      </c>
      <c r="D8" s="1" t="s">
        <v>211</v>
      </c>
      <c r="E8" s="1" t="s">
        <v>236</v>
      </c>
      <c r="F8" s="1" t="s">
        <v>237</v>
      </c>
      <c r="G8" s="1" t="s">
        <v>235</v>
      </c>
      <c r="H8" s="1" t="s">
        <v>238</v>
      </c>
      <c r="I8" s="1" t="s">
        <v>239</v>
      </c>
      <c r="J8" s="1" t="s">
        <v>215</v>
      </c>
      <c r="K8" s="1" t="s">
        <v>240</v>
      </c>
    </row>
    <row r="9" spans="1:11" x14ac:dyDescent="0.35">
      <c r="A9" s="1" t="s">
        <v>17</v>
      </c>
      <c r="B9" s="1" t="s">
        <v>18</v>
      </c>
      <c r="C9" s="1" t="s">
        <v>241</v>
      </c>
      <c r="D9" s="1" t="s">
        <v>211</v>
      </c>
      <c r="E9" s="1" t="s">
        <v>242</v>
      </c>
      <c r="F9" s="1" t="s">
        <v>243</v>
      </c>
      <c r="G9" s="1" t="s">
        <v>241</v>
      </c>
      <c r="H9" s="1" t="s">
        <v>229</v>
      </c>
      <c r="I9" s="1" t="s">
        <v>230</v>
      </c>
      <c r="J9" s="1" t="s">
        <v>215</v>
      </c>
      <c r="K9" s="1" t="s">
        <v>240</v>
      </c>
    </row>
    <row r="10" spans="1:11" x14ac:dyDescent="0.35">
      <c r="A10" s="1" t="s">
        <v>17</v>
      </c>
      <c r="B10" s="1" t="s">
        <v>18</v>
      </c>
      <c r="C10" s="1" t="s">
        <v>244</v>
      </c>
      <c r="D10" s="1" t="s">
        <v>211</v>
      </c>
      <c r="E10" s="1" t="s">
        <v>245</v>
      </c>
      <c r="F10" s="1" t="s">
        <v>246</v>
      </c>
      <c r="G10" s="1" t="s">
        <v>244</v>
      </c>
      <c r="H10" s="1" t="s">
        <v>17</v>
      </c>
      <c r="I10" s="1" t="s">
        <v>214</v>
      </c>
      <c r="J10" s="1" t="s">
        <v>247</v>
      </c>
      <c r="K10" s="1" t="s">
        <v>248</v>
      </c>
    </row>
    <row r="11" spans="1:11" x14ac:dyDescent="0.35">
      <c r="A11" s="1" t="s">
        <v>17</v>
      </c>
      <c r="B11" s="1" t="s">
        <v>18</v>
      </c>
      <c r="C11" s="1" t="s">
        <v>249</v>
      </c>
      <c r="D11" s="1" t="s">
        <v>211</v>
      </c>
      <c r="E11" s="1" t="s">
        <v>250</v>
      </c>
      <c r="F11" s="1" t="s">
        <v>251</v>
      </c>
      <c r="G11" s="1" t="s">
        <v>249</v>
      </c>
      <c r="H11" s="1" t="s">
        <v>252</v>
      </c>
      <c r="I11" s="1" t="s">
        <v>249</v>
      </c>
      <c r="J11" s="1" t="s">
        <v>215</v>
      </c>
      <c r="K11" s="1" t="s">
        <v>240</v>
      </c>
    </row>
    <row r="12" spans="1:11" x14ac:dyDescent="0.35">
      <c r="A12" s="1" t="s">
        <v>26</v>
      </c>
      <c r="B12" s="1" t="s">
        <v>27</v>
      </c>
      <c r="C12" s="1" t="s">
        <v>206</v>
      </c>
      <c r="D12" s="1" t="s">
        <v>206</v>
      </c>
      <c r="E12" s="1" t="s">
        <v>207</v>
      </c>
      <c r="F12" s="1" t="s">
        <v>253</v>
      </c>
      <c r="G12" s="1" t="s">
        <v>209</v>
      </c>
      <c r="H12" s="1" t="s">
        <v>209</v>
      </c>
      <c r="I12" s="1" t="s">
        <v>209</v>
      </c>
      <c r="J12" s="1" t="s">
        <v>209</v>
      </c>
      <c r="K12" s="1" t="s">
        <v>209</v>
      </c>
    </row>
    <row r="13" spans="1:11" x14ac:dyDescent="0.35">
      <c r="A13" s="1" t="s">
        <v>26</v>
      </c>
      <c r="B13" s="1" t="s">
        <v>27</v>
      </c>
      <c r="C13" s="1" t="s">
        <v>210</v>
      </c>
      <c r="D13" s="1" t="s">
        <v>211</v>
      </c>
      <c r="E13" s="1" t="s">
        <v>212</v>
      </c>
      <c r="F13" s="1" t="s">
        <v>254</v>
      </c>
      <c r="G13" s="1" t="s">
        <v>210</v>
      </c>
      <c r="H13" s="1" t="s">
        <v>26</v>
      </c>
      <c r="I13" s="1" t="s">
        <v>214</v>
      </c>
      <c r="J13" s="1" t="s">
        <v>215</v>
      </c>
      <c r="K13" s="1" t="s">
        <v>216</v>
      </c>
    </row>
    <row r="14" spans="1:11" x14ac:dyDescent="0.35">
      <c r="A14" s="1" t="s">
        <v>26</v>
      </c>
      <c r="B14" s="1" t="s">
        <v>27</v>
      </c>
      <c r="C14" s="1" t="s">
        <v>217</v>
      </c>
      <c r="D14" s="1" t="s">
        <v>211</v>
      </c>
      <c r="E14" s="1" t="s">
        <v>218</v>
      </c>
      <c r="F14" s="1" t="s">
        <v>255</v>
      </c>
      <c r="G14" s="1" t="s">
        <v>217</v>
      </c>
      <c r="H14" s="1" t="s">
        <v>220</v>
      </c>
      <c r="I14" s="1" t="s">
        <v>221</v>
      </c>
      <c r="J14" s="1" t="s">
        <v>215</v>
      </c>
      <c r="K14" s="1" t="s">
        <v>222</v>
      </c>
    </row>
    <row r="15" spans="1:11" x14ac:dyDescent="0.35">
      <c r="A15" s="1" t="s">
        <v>26</v>
      </c>
      <c r="B15" s="1" t="s">
        <v>27</v>
      </c>
      <c r="C15" s="1" t="s">
        <v>223</v>
      </c>
      <c r="D15" s="1" t="s">
        <v>211</v>
      </c>
      <c r="E15" s="1" t="s">
        <v>224</v>
      </c>
      <c r="F15" s="1" t="s">
        <v>256</v>
      </c>
      <c r="G15" s="1" t="s">
        <v>223</v>
      </c>
      <c r="H15" s="1" t="s">
        <v>220</v>
      </c>
      <c r="I15" s="1" t="s">
        <v>221</v>
      </c>
      <c r="J15" s="1" t="s">
        <v>215</v>
      </c>
      <c r="K15" s="1" t="s">
        <v>222</v>
      </c>
    </row>
    <row r="16" spans="1:11" x14ac:dyDescent="0.35">
      <c r="A16" s="1" t="s">
        <v>26</v>
      </c>
      <c r="B16" s="1" t="s">
        <v>27</v>
      </c>
      <c r="C16" s="1" t="s">
        <v>226</v>
      </c>
      <c r="D16" s="1" t="s">
        <v>211</v>
      </c>
      <c r="E16" s="1" t="s">
        <v>227</v>
      </c>
      <c r="F16" s="1" t="s">
        <v>257</v>
      </c>
      <c r="G16" s="1" t="s">
        <v>226</v>
      </c>
      <c r="H16" s="1" t="s">
        <v>229</v>
      </c>
      <c r="I16" s="1" t="s">
        <v>230</v>
      </c>
      <c r="J16" s="1" t="s">
        <v>215</v>
      </c>
      <c r="K16" s="1" t="s">
        <v>231</v>
      </c>
    </row>
    <row r="17" spans="1:11" x14ac:dyDescent="0.35">
      <c r="A17" s="1" t="s">
        <v>26</v>
      </c>
      <c r="B17" s="1" t="s">
        <v>27</v>
      </c>
      <c r="C17" s="1" t="s">
        <v>232</v>
      </c>
      <c r="D17" s="1" t="s">
        <v>211</v>
      </c>
      <c r="E17" s="1" t="s">
        <v>233</v>
      </c>
      <c r="F17" s="1" t="s">
        <v>258</v>
      </c>
      <c r="G17" s="1" t="s">
        <v>232</v>
      </c>
      <c r="H17" s="1" t="s">
        <v>220</v>
      </c>
      <c r="I17" s="1" t="s">
        <v>221</v>
      </c>
      <c r="J17" s="1" t="s">
        <v>215</v>
      </c>
      <c r="K17" s="1" t="s">
        <v>231</v>
      </c>
    </row>
    <row r="18" spans="1:11" x14ac:dyDescent="0.35">
      <c r="A18" s="1" t="s">
        <v>26</v>
      </c>
      <c r="B18" s="1" t="s">
        <v>27</v>
      </c>
      <c r="C18" s="1" t="s">
        <v>235</v>
      </c>
      <c r="D18" s="1" t="s">
        <v>211</v>
      </c>
      <c r="E18" s="1" t="s">
        <v>236</v>
      </c>
      <c r="F18" s="1" t="s">
        <v>259</v>
      </c>
      <c r="G18" s="1" t="s">
        <v>235</v>
      </c>
      <c r="H18" s="1" t="s">
        <v>238</v>
      </c>
      <c r="I18" s="1" t="s">
        <v>239</v>
      </c>
      <c r="J18" s="1" t="s">
        <v>215</v>
      </c>
      <c r="K18" s="1" t="s">
        <v>240</v>
      </c>
    </row>
    <row r="19" spans="1:11" x14ac:dyDescent="0.35">
      <c r="A19" s="1" t="s">
        <v>26</v>
      </c>
      <c r="B19" s="1" t="s">
        <v>27</v>
      </c>
      <c r="C19" s="1" t="s">
        <v>241</v>
      </c>
      <c r="D19" s="1" t="s">
        <v>211</v>
      </c>
      <c r="E19" s="1" t="s">
        <v>242</v>
      </c>
      <c r="F19" s="1" t="s">
        <v>260</v>
      </c>
      <c r="G19" s="1" t="s">
        <v>241</v>
      </c>
      <c r="H19" s="1" t="s">
        <v>229</v>
      </c>
      <c r="I19" s="1" t="s">
        <v>230</v>
      </c>
      <c r="J19" s="1" t="s">
        <v>215</v>
      </c>
      <c r="K19" s="1" t="s">
        <v>240</v>
      </c>
    </row>
    <row r="20" spans="1:11" x14ac:dyDescent="0.35">
      <c r="A20" s="1" t="s">
        <v>26</v>
      </c>
      <c r="B20" s="1" t="s">
        <v>27</v>
      </c>
      <c r="C20" s="1" t="s">
        <v>244</v>
      </c>
      <c r="D20" s="1" t="s">
        <v>211</v>
      </c>
      <c r="E20" s="1" t="s">
        <v>245</v>
      </c>
      <c r="F20" s="1" t="s">
        <v>246</v>
      </c>
      <c r="G20" s="1" t="s">
        <v>244</v>
      </c>
      <c r="H20" s="1" t="s">
        <v>26</v>
      </c>
      <c r="I20" s="1" t="s">
        <v>214</v>
      </c>
      <c r="J20" s="1" t="s">
        <v>247</v>
      </c>
      <c r="K20" s="1" t="s">
        <v>248</v>
      </c>
    </row>
    <row r="21" spans="1:11" x14ac:dyDescent="0.35">
      <c r="A21" s="1" t="s">
        <v>26</v>
      </c>
      <c r="B21" s="1" t="s">
        <v>27</v>
      </c>
      <c r="C21" s="1" t="s">
        <v>249</v>
      </c>
      <c r="D21" s="1" t="s">
        <v>211</v>
      </c>
      <c r="E21" s="1" t="s">
        <v>250</v>
      </c>
      <c r="F21" s="1" t="s">
        <v>261</v>
      </c>
      <c r="G21" s="1" t="s">
        <v>249</v>
      </c>
      <c r="H21" s="1" t="s">
        <v>252</v>
      </c>
      <c r="I21" s="1" t="s">
        <v>249</v>
      </c>
      <c r="J21" s="1" t="s">
        <v>215</v>
      </c>
      <c r="K21" s="1" t="s">
        <v>240</v>
      </c>
    </row>
    <row r="22" spans="1:11" x14ac:dyDescent="0.35">
      <c r="A22" s="1" t="s">
        <v>35</v>
      </c>
      <c r="B22" s="1" t="s">
        <v>36</v>
      </c>
      <c r="C22" s="1" t="s">
        <v>206</v>
      </c>
      <c r="D22" s="1" t="s">
        <v>206</v>
      </c>
      <c r="E22" s="1" t="s">
        <v>207</v>
      </c>
      <c r="F22" s="1" t="s">
        <v>262</v>
      </c>
      <c r="G22" s="1" t="s">
        <v>209</v>
      </c>
      <c r="H22" s="1" t="s">
        <v>209</v>
      </c>
      <c r="I22" s="1" t="s">
        <v>209</v>
      </c>
      <c r="J22" s="1" t="s">
        <v>209</v>
      </c>
      <c r="K22" s="1" t="s">
        <v>209</v>
      </c>
    </row>
    <row r="23" spans="1:11" x14ac:dyDescent="0.35">
      <c r="A23" s="1" t="s">
        <v>35</v>
      </c>
      <c r="B23" s="1" t="s">
        <v>36</v>
      </c>
      <c r="C23" s="1" t="s">
        <v>210</v>
      </c>
      <c r="D23" s="1" t="s">
        <v>211</v>
      </c>
      <c r="E23" s="1" t="s">
        <v>212</v>
      </c>
      <c r="F23" s="1" t="s">
        <v>263</v>
      </c>
      <c r="G23" s="1" t="s">
        <v>210</v>
      </c>
      <c r="H23" s="1" t="s">
        <v>35</v>
      </c>
      <c r="I23" s="1" t="s">
        <v>214</v>
      </c>
      <c r="J23" s="1" t="s">
        <v>215</v>
      </c>
      <c r="K23" s="1" t="s">
        <v>216</v>
      </c>
    </row>
    <row r="24" spans="1:11" x14ac:dyDescent="0.35">
      <c r="A24" s="1" t="s">
        <v>35</v>
      </c>
      <c r="B24" s="1" t="s">
        <v>36</v>
      </c>
      <c r="C24" s="1" t="s">
        <v>217</v>
      </c>
      <c r="D24" s="1" t="s">
        <v>211</v>
      </c>
      <c r="E24" s="1" t="s">
        <v>218</v>
      </c>
      <c r="F24" s="1" t="s">
        <v>264</v>
      </c>
      <c r="G24" s="1" t="s">
        <v>217</v>
      </c>
      <c r="H24" s="1" t="s">
        <v>220</v>
      </c>
      <c r="I24" s="1" t="s">
        <v>221</v>
      </c>
      <c r="J24" s="1" t="s">
        <v>215</v>
      </c>
      <c r="K24" s="1" t="s">
        <v>222</v>
      </c>
    </row>
    <row r="25" spans="1:11" x14ac:dyDescent="0.35">
      <c r="A25" s="1" t="s">
        <v>35</v>
      </c>
      <c r="B25" s="1" t="s">
        <v>36</v>
      </c>
      <c r="C25" s="1" t="s">
        <v>223</v>
      </c>
      <c r="D25" s="1" t="s">
        <v>211</v>
      </c>
      <c r="E25" s="1" t="s">
        <v>224</v>
      </c>
      <c r="F25" s="1" t="s">
        <v>265</v>
      </c>
      <c r="G25" s="1" t="s">
        <v>223</v>
      </c>
      <c r="H25" s="1" t="s">
        <v>220</v>
      </c>
      <c r="I25" s="1" t="s">
        <v>221</v>
      </c>
      <c r="J25" s="1" t="s">
        <v>215</v>
      </c>
      <c r="K25" s="1" t="s">
        <v>222</v>
      </c>
    </row>
    <row r="26" spans="1:11" x14ac:dyDescent="0.35">
      <c r="A26" s="1" t="s">
        <v>35</v>
      </c>
      <c r="B26" s="1" t="s">
        <v>36</v>
      </c>
      <c r="C26" s="1" t="s">
        <v>226</v>
      </c>
      <c r="D26" s="1" t="s">
        <v>211</v>
      </c>
      <c r="E26" s="1" t="s">
        <v>227</v>
      </c>
      <c r="F26" s="1" t="s">
        <v>266</v>
      </c>
      <c r="G26" s="1" t="s">
        <v>226</v>
      </c>
      <c r="H26" s="1" t="s">
        <v>229</v>
      </c>
      <c r="I26" s="1" t="s">
        <v>230</v>
      </c>
      <c r="J26" s="1" t="s">
        <v>215</v>
      </c>
      <c r="K26" s="1" t="s">
        <v>231</v>
      </c>
    </row>
    <row r="27" spans="1:11" x14ac:dyDescent="0.35">
      <c r="A27" s="1" t="s">
        <v>35</v>
      </c>
      <c r="B27" s="1" t="s">
        <v>36</v>
      </c>
      <c r="C27" s="1" t="s">
        <v>232</v>
      </c>
      <c r="D27" s="1" t="s">
        <v>211</v>
      </c>
      <c r="E27" s="1" t="s">
        <v>233</v>
      </c>
      <c r="F27" s="1" t="s">
        <v>267</v>
      </c>
      <c r="G27" s="1" t="s">
        <v>232</v>
      </c>
      <c r="H27" s="1" t="s">
        <v>220</v>
      </c>
      <c r="I27" s="1" t="s">
        <v>221</v>
      </c>
      <c r="J27" s="1" t="s">
        <v>215</v>
      </c>
      <c r="K27" s="1" t="s">
        <v>231</v>
      </c>
    </row>
    <row r="28" spans="1:11" x14ac:dyDescent="0.35">
      <c r="A28" s="1" t="s">
        <v>35</v>
      </c>
      <c r="B28" s="1" t="s">
        <v>36</v>
      </c>
      <c r="C28" s="1" t="s">
        <v>235</v>
      </c>
      <c r="D28" s="1" t="s">
        <v>211</v>
      </c>
      <c r="E28" s="1" t="s">
        <v>236</v>
      </c>
      <c r="F28" s="1" t="s">
        <v>268</v>
      </c>
      <c r="G28" s="1" t="s">
        <v>235</v>
      </c>
      <c r="H28" s="1" t="s">
        <v>238</v>
      </c>
      <c r="I28" s="1" t="s">
        <v>239</v>
      </c>
      <c r="J28" s="1" t="s">
        <v>215</v>
      </c>
      <c r="K28" s="1" t="s">
        <v>240</v>
      </c>
    </row>
    <row r="29" spans="1:11" x14ac:dyDescent="0.35">
      <c r="A29" s="1" t="s">
        <v>35</v>
      </c>
      <c r="B29" s="1" t="s">
        <v>36</v>
      </c>
      <c r="C29" s="1" t="s">
        <v>241</v>
      </c>
      <c r="D29" s="1" t="s">
        <v>211</v>
      </c>
      <c r="E29" s="1" t="s">
        <v>242</v>
      </c>
      <c r="F29" s="1" t="s">
        <v>269</v>
      </c>
      <c r="G29" s="1" t="s">
        <v>241</v>
      </c>
      <c r="H29" s="1" t="s">
        <v>229</v>
      </c>
      <c r="I29" s="1" t="s">
        <v>230</v>
      </c>
      <c r="J29" s="1" t="s">
        <v>215</v>
      </c>
      <c r="K29" s="1" t="s">
        <v>240</v>
      </c>
    </row>
    <row r="30" spans="1:11" x14ac:dyDescent="0.35">
      <c r="A30" s="1" t="s">
        <v>35</v>
      </c>
      <c r="B30" s="1" t="s">
        <v>36</v>
      </c>
      <c r="C30" s="1" t="s">
        <v>244</v>
      </c>
      <c r="D30" s="1" t="s">
        <v>211</v>
      </c>
      <c r="E30" s="1" t="s">
        <v>245</v>
      </c>
      <c r="F30" s="1" t="s">
        <v>246</v>
      </c>
      <c r="G30" s="1" t="s">
        <v>244</v>
      </c>
      <c r="H30" s="1" t="s">
        <v>35</v>
      </c>
      <c r="I30" s="1" t="s">
        <v>214</v>
      </c>
      <c r="J30" s="1" t="s">
        <v>247</v>
      </c>
      <c r="K30" s="1" t="s">
        <v>248</v>
      </c>
    </row>
    <row r="31" spans="1:11" x14ac:dyDescent="0.35">
      <c r="A31" s="1" t="s">
        <v>35</v>
      </c>
      <c r="B31" s="1" t="s">
        <v>36</v>
      </c>
      <c r="C31" s="1" t="s">
        <v>249</v>
      </c>
      <c r="D31" s="1" t="s">
        <v>211</v>
      </c>
      <c r="E31" s="1" t="s">
        <v>250</v>
      </c>
      <c r="F31" s="1" t="s">
        <v>270</v>
      </c>
      <c r="G31" s="1" t="s">
        <v>249</v>
      </c>
      <c r="H31" s="1" t="s">
        <v>252</v>
      </c>
      <c r="I31" s="1" t="s">
        <v>249</v>
      </c>
      <c r="J31" s="1" t="s">
        <v>215</v>
      </c>
      <c r="K31" s="1" t="s">
        <v>240</v>
      </c>
    </row>
    <row r="32" spans="1:11" x14ac:dyDescent="0.35">
      <c r="A32" s="1" t="s">
        <v>44</v>
      </c>
      <c r="B32" s="1" t="s">
        <v>45</v>
      </c>
      <c r="C32" s="1" t="s">
        <v>206</v>
      </c>
      <c r="D32" s="1" t="s">
        <v>206</v>
      </c>
      <c r="E32" s="1" t="s">
        <v>207</v>
      </c>
      <c r="F32" s="1" t="s">
        <v>271</v>
      </c>
      <c r="G32" s="1" t="s">
        <v>209</v>
      </c>
      <c r="H32" s="1" t="s">
        <v>209</v>
      </c>
      <c r="I32" s="1" t="s">
        <v>209</v>
      </c>
      <c r="J32" s="1" t="s">
        <v>209</v>
      </c>
      <c r="K32" s="1" t="s">
        <v>209</v>
      </c>
    </row>
    <row r="33" spans="1:11" x14ac:dyDescent="0.35">
      <c r="A33" s="1" t="s">
        <v>44</v>
      </c>
      <c r="B33" s="1" t="s">
        <v>45</v>
      </c>
      <c r="C33" s="1" t="s">
        <v>210</v>
      </c>
      <c r="D33" s="1" t="s">
        <v>211</v>
      </c>
      <c r="E33" s="1" t="s">
        <v>212</v>
      </c>
      <c r="F33" s="1" t="s">
        <v>272</v>
      </c>
      <c r="G33" s="1" t="s">
        <v>210</v>
      </c>
      <c r="H33" s="1" t="s">
        <v>44</v>
      </c>
      <c r="I33" s="1" t="s">
        <v>214</v>
      </c>
      <c r="J33" s="1" t="s">
        <v>215</v>
      </c>
      <c r="K33" s="1" t="s">
        <v>216</v>
      </c>
    </row>
    <row r="34" spans="1:11" x14ac:dyDescent="0.35">
      <c r="A34" s="1" t="s">
        <v>44</v>
      </c>
      <c r="B34" s="1" t="s">
        <v>45</v>
      </c>
      <c r="C34" s="1" t="s">
        <v>217</v>
      </c>
      <c r="D34" s="1" t="s">
        <v>211</v>
      </c>
      <c r="E34" s="1" t="s">
        <v>218</v>
      </c>
      <c r="F34" s="1" t="s">
        <v>273</v>
      </c>
      <c r="G34" s="1" t="s">
        <v>217</v>
      </c>
      <c r="H34" s="1" t="s">
        <v>220</v>
      </c>
      <c r="I34" s="1" t="s">
        <v>221</v>
      </c>
      <c r="J34" s="1" t="s">
        <v>215</v>
      </c>
      <c r="K34" s="1" t="s">
        <v>222</v>
      </c>
    </row>
    <row r="35" spans="1:11" x14ac:dyDescent="0.35">
      <c r="A35" s="1" t="s">
        <v>44</v>
      </c>
      <c r="B35" s="1" t="s">
        <v>45</v>
      </c>
      <c r="C35" s="1" t="s">
        <v>223</v>
      </c>
      <c r="D35" s="1" t="s">
        <v>211</v>
      </c>
      <c r="E35" s="1" t="s">
        <v>224</v>
      </c>
      <c r="F35" s="1" t="s">
        <v>274</v>
      </c>
      <c r="G35" s="1" t="s">
        <v>223</v>
      </c>
      <c r="H35" s="1" t="s">
        <v>220</v>
      </c>
      <c r="I35" s="1" t="s">
        <v>221</v>
      </c>
      <c r="J35" s="1" t="s">
        <v>215</v>
      </c>
      <c r="K35" s="1" t="s">
        <v>222</v>
      </c>
    </row>
    <row r="36" spans="1:11" x14ac:dyDescent="0.35">
      <c r="A36" s="1" t="s">
        <v>44</v>
      </c>
      <c r="B36" s="1" t="s">
        <v>45</v>
      </c>
      <c r="C36" s="1" t="s">
        <v>226</v>
      </c>
      <c r="D36" s="1" t="s">
        <v>211</v>
      </c>
      <c r="E36" s="1" t="s">
        <v>227</v>
      </c>
      <c r="F36" s="1" t="s">
        <v>275</v>
      </c>
      <c r="G36" s="1" t="s">
        <v>226</v>
      </c>
      <c r="H36" s="1" t="s">
        <v>229</v>
      </c>
      <c r="I36" s="1" t="s">
        <v>230</v>
      </c>
      <c r="J36" s="1" t="s">
        <v>215</v>
      </c>
      <c r="K36" s="1" t="s">
        <v>231</v>
      </c>
    </row>
    <row r="37" spans="1:11" x14ac:dyDescent="0.35">
      <c r="A37" s="1" t="s">
        <v>44</v>
      </c>
      <c r="B37" s="1" t="s">
        <v>45</v>
      </c>
      <c r="C37" s="1" t="s">
        <v>232</v>
      </c>
      <c r="D37" s="1" t="s">
        <v>211</v>
      </c>
      <c r="E37" s="1" t="s">
        <v>233</v>
      </c>
      <c r="F37" s="1" t="s">
        <v>276</v>
      </c>
      <c r="G37" s="1" t="s">
        <v>232</v>
      </c>
      <c r="H37" s="1" t="s">
        <v>220</v>
      </c>
      <c r="I37" s="1" t="s">
        <v>221</v>
      </c>
      <c r="J37" s="1" t="s">
        <v>215</v>
      </c>
      <c r="K37" s="1" t="s">
        <v>231</v>
      </c>
    </row>
    <row r="38" spans="1:11" x14ac:dyDescent="0.35">
      <c r="A38" s="1" t="s">
        <v>44</v>
      </c>
      <c r="B38" s="1" t="s">
        <v>45</v>
      </c>
      <c r="C38" s="1" t="s">
        <v>235</v>
      </c>
      <c r="D38" s="1" t="s">
        <v>211</v>
      </c>
      <c r="E38" s="1" t="s">
        <v>236</v>
      </c>
      <c r="F38" s="1" t="s">
        <v>277</v>
      </c>
      <c r="G38" s="1" t="s">
        <v>235</v>
      </c>
      <c r="H38" s="1" t="s">
        <v>238</v>
      </c>
      <c r="I38" s="1" t="s">
        <v>239</v>
      </c>
      <c r="J38" s="1" t="s">
        <v>215</v>
      </c>
      <c r="K38" s="1" t="s">
        <v>240</v>
      </c>
    </row>
    <row r="39" spans="1:11" x14ac:dyDescent="0.35">
      <c r="A39" s="1" t="s">
        <v>44</v>
      </c>
      <c r="B39" s="1" t="s">
        <v>45</v>
      </c>
      <c r="C39" s="1" t="s">
        <v>241</v>
      </c>
      <c r="D39" s="1" t="s">
        <v>211</v>
      </c>
      <c r="E39" s="1" t="s">
        <v>242</v>
      </c>
      <c r="F39" s="1" t="s">
        <v>278</v>
      </c>
      <c r="G39" s="1" t="s">
        <v>241</v>
      </c>
      <c r="H39" s="1" t="s">
        <v>229</v>
      </c>
      <c r="I39" s="1" t="s">
        <v>230</v>
      </c>
      <c r="J39" s="1" t="s">
        <v>215</v>
      </c>
      <c r="K39" s="1" t="s">
        <v>240</v>
      </c>
    </row>
    <row r="40" spans="1:11" x14ac:dyDescent="0.35">
      <c r="A40" s="1" t="s">
        <v>44</v>
      </c>
      <c r="B40" s="1" t="s">
        <v>45</v>
      </c>
      <c r="C40" s="1" t="s">
        <v>244</v>
      </c>
      <c r="D40" s="1" t="s">
        <v>211</v>
      </c>
      <c r="E40" s="1" t="s">
        <v>245</v>
      </c>
      <c r="F40" s="1" t="s">
        <v>246</v>
      </c>
      <c r="G40" s="1" t="s">
        <v>244</v>
      </c>
      <c r="H40" s="1" t="s">
        <v>44</v>
      </c>
      <c r="I40" s="1" t="s">
        <v>214</v>
      </c>
      <c r="J40" s="1" t="s">
        <v>247</v>
      </c>
      <c r="K40" s="1" t="s">
        <v>248</v>
      </c>
    </row>
    <row r="41" spans="1:11" x14ac:dyDescent="0.35">
      <c r="A41" s="1" t="s">
        <v>44</v>
      </c>
      <c r="B41" s="1" t="s">
        <v>45</v>
      </c>
      <c r="C41" s="1" t="s">
        <v>249</v>
      </c>
      <c r="D41" s="1" t="s">
        <v>211</v>
      </c>
      <c r="E41" s="1" t="s">
        <v>250</v>
      </c>
      <c r="F41" s="1" t="s">
        <v>279</v>
      </c>
      <c r="G41" s="1" t="s">
        <v>249</v>
      </c>
      <c r="H41" s="1" t="s">
        <v>252</v>
      </c>
      <c r="I41" s="1" t="s">
        <v>249</v>
      </c>
      <c r="J41" s="1" t="s">
        <v>215</v>
      </c>
      <c r="K41" s="1" t="s">
        <v>240</v>
      </c>
    </row>
    <row r="42" spans="1:11" x14ac:dyDescent="0.35">
      <c r="A42" s="1" t="s">
        <v>53</v>
      </c>
      <c r="B42" s="1" t="s">
        <v>54</v>
      </c>
      <c r="C42" s="1" t="s">
        <v>206</v>
      </c>
      <c r="D42" s="1" t="s">
        <v>206</v>
      </c>
      <c r="E42" s="1" t="s">
        <v>207</v>
      </c>
      <c r="F42" s="1" t="s">
        <v>280</v>
      </c>
      <c r="G42" s="1" t="s">
        <v>209</v>
      </c>
      <c r="H42" s="1" t="s">
        <v>209</v>
      </c>
      <c r="I42" s="1" t="s">
        <v>209</v>
      </c>
      <c r="J42" s="1" t="s">
        <v>209</v>
      </c>
      <c r="K42" s="1" t="s">
        <v>209</v>
      </c>
    </row>
    <row r="43" spans="1:11" x14ac:dyDescent="0.35">
      <c r="A43" s="1" t="s">
        <v>53</v>
      </c>
      <c r="B43" s="1" t="s">
        <v>54</v>
      </c>
      <c r="C43" s="1" t="s">
        <v>210</v>
      </c>
      <c r="D43" s="1" t="s">
        <v>211</v>
      </c>
      <c r="E43" s="1" t="s">
        <v>212</v>
      </c>
      <c r="F43" s="1" t="s">
        <v>281</v>
      </c>
      <c r="G43" s="1" t="s">
        <v>210</v>
      </c>
      <c r="H43" s="1" t="s">
        <v>53</v>
      </c>
      <c r="I43" s="1" t="s">
        <v>214</v>
      </c>
      <c r="J43" s="1" t="s">
        <v>215</v>
      </c>
      <c r="K43" s="1" t="s">
        <v>216</v>
      </c>
    </row>
    <row r="44" spans="1:11" x14ac:dyDescent="0.35">
      <c r="A44" s="1" t="s">
        <v>53</v>
      </c>
      <c r="B44" s="1" t="s">
        <v>54</v>
      </c>
      <c r="C44" s="1" t="s">
        <v>217</v>
      </c>
      <c r="D44" s="1" t="s">
        <v>211</v>
      </c>
      <c r="E44" s="1" t="s">
        <v>218</v>
      </c>
      <c r="F44" s="1" t="s">
        <v>282</v>
      </c>
      <c r="G44" s="1" t="s">
        <v>217</v>
      </c>
      <c r="H44" s="1" t="s">
        <v>220</v>
      </c>
      <c r="I44" s="1" t="s">
        <v>221</v>
      </c>
      <c r="J44" s="1" t="s">
        <v>215</v>
      </c>
      <c r="K44" s="1" t="s">
        <v>222</v>
      </c>
    </row>
    <row r="45" spans="1:11" x14ac:dyDescent="0.35">
      <c r="A45" s="1" t="s">
        <v>53</v>
      </c>
      <c r="B45" s="1" t="s">
        <v>54</v>
      </c>
      <c r="C45" s="1" t="s">
        <v>223</v>
      </c>
      <c r="D45" s="1" t="s">
        <v>211</v>
      </c>
      <c r="E45" s="1" t="s">
        <v>224</v>
      </c>
      <c r="F45" s="1" t="s">
        <v>283</v>
      </c>
      <c r="G45" s="1" t="s">
        <v>223</v>
      </c>
      <c r="H45" s="1" t="s">
        <v>220</v>
      </c>
      <c r="I45" s="1" t="s">
        <v>221</v>
      </c>
      <c r="J45" s="1" t="s">
        <v>215</v>
      </c>
      <c r="K45" s="1" t="s">
        <v>222</v>
      </c>
    </row>
    <row r="46" spans="1:11" x14ac:dyDescent="0.35">
      <c r="A46" s="1" t="s">
        <v>53</v>
      </c>
      <c r="B46" s="1" t="s">
        <v>54</v>
      </c>
      <c r="C46" s="1" t="s">
        <v>226</v>
      </c>
      <c r="D46" s="1" t="s">
        <v>211</v>
      </c>
      <c r="E46" s="1" t="s">
        <v>227</v>
      </c>
      <c r="F46" s="1" t="s">
        <v>284</v>
      </c>
      <c r="G46" s="1" t="s">
        <v>226</v>
      </c>
      <c r="H46" s="1" t="s">
        <v>229</v>
      </c>
      <c r="I46" s="1" t="s">
        <v>230</v>
      </c>
      <c r="J46" s="1" t="s">
        <v>215</v>
      </c>
      <c r="K46" s="1" t="s">
        <v>231</v>
      </c>
    </row>
    <row r="47" spans="1:11" x14ac:dyDescent="0.35">
      <c r="A47" s="1" t="s">
        <v>53</v>
      </c>
      <c r="B47" s="1" t="s">
        <v>54</v>
      </c>
      <c r="C47" s="1" t="s">
        <v>232</v>
      </c>
      <c r="D47" s="1" t="s">
        <v>211</v>
      </c>
      <c r="E47" s="1" t="s">
        <v>233</v>
      </c>
      <c r="F47" s="1" t="s">
        <v>285</v>
      </c>
      <c r="G47" s="1" t="s">
        <v>232</v>
      </c>
      <c r="H47" s="1" t="s">
        <v>220</v>
      </c>
      <c r="I47" s="1" t="s">
        <v>221</v>
      </c>
      <c r="J47" s="1" t="s">
        <v>215</v>
      </c>
      <c r="K47" s="1" t="s">
        <v>231</v>
      </c>
    </row>
    <row r="48" spans="1:11" x14ac:dyDescent="0.35">
      <c r="A48" s="1" t="s">
        <v>53</v>
      </c>
      <c r="B48" s="1" t="s">
        <v>54</v>
      </c>
      <c r="C48" s="1" t="s">
        <v>235</v>
      </c>
      <c r="D48" s="1" t="s">
        <v>211</v>
      </c>
      <c r="E48" s="1" t="s">
        <v>236</v>
      </c>
      <c r="F48" s="1" t="s">
        <v>286</v>
      </c>
      <c r="G48" s="1" t="s">
        <v>235</v>
      </c>
      <c r="H48" s="1" t="s">
        <v>238</v>
      </c>
      <c r="I48" s="1" t="s">
        <v>239</v>
      </c>
      <c r="J48" s="1" t="s">
        <v>215</v>
      </c>
      <c r="K48" s="1" t="s">
        <v>240</v>
      </c>
    </row>
    <row r="49" spans="1:11" x14ac:dyDescent="0.35">
      <c r="A49" s="1" t="s">
        <v>53</v>
      </c>
      <c r="B49" s="1" t="s">
        <v>54</v>
      </c>
      <c r="C49" s="1" t="s">
        <v>241</v>
      </c>
      <c r="D49" s="1" t="s">
        <v>211</v>
      </c>
      <c r="E49" s="1" t="s">
        <v>242</v>
      </c>
      <c r="F49" s="1" t="s">
        <v>287</v>
      </c>
      <c r="G49" s="1" t="s">
        <v>241</v>
      </c>
      <c r="H49" s="1" t="s">
        <v>229</v>
      </c>
      <c r="I49" s="1" t="s">
        <v>230</v>
      </c>
      <c r="J49" s="1" t="s">
        <v>215</v>
      </c>
      <c r="K49" s="1" t="s">
        <v>240</v>
      </c>
    </row>
    <row r="50" spans="1:11" x14ac:dyDescent="0.35">
      <c r="A50" s="1" t="s">
        <v>53</v>
      </c>
      <c r="B50" s="1" t="s">
        <v>54</v>
      </c>
      <c r="C50" s="1" t="s">
        <v>244</v>
      </c>
      <c r="D50" s="1" t="s">
        <v>211</v>
      </c>
      <c r="E50" s="1" t="s">
        <v>245</v>
      </c>
      <c r="F50" s="1" t="s">
        <v>246</v>
      </c>
      <c r="G50" s="1" t="s">
        <v>244</v>
      </c>
      <c r="H50" s="1" t="s">
        <v>53</v>
      </c>
      <c r="I50" s="1" t="s">
        <v>214</v>
      </c>
      <c r="J50" s="1" t="s">
        <v>247</v>
      </c>
      <c r="K50" s="1" t="s">
        <v>248</v>
      </c>
    </row>
    <row r="51" spans="1:11" x14ac:dyDescent="0.35">
      <c r="A51" s="1" t="s">
        <v>53</v>
      </c>
      <c r="B51" s="1" t="s">
        <v>54</v>
      </c>
      <c r="C51" s="1" t="s">
        <v>249</v>
      </c>
      <c r="D51" s="1" t="s">
        <v>211</v>
      </c>
      <c r="E51" s="1" t="s">
        <v>250</v>
      </c>
      <c r="F51" s="1" t="s">
        <v>288</v>
      </c>
      <c r="G51" s="1" t="s">
        <v>249</v>
      </c>
      <c r="H51" s="1" t="s">
        <v>252</v>
      </c>
      <c r="I51" s="1" t="s">
        <v>249</v>
      </c>
      <c r="J51" s="1" t="s">
        <v>215</v>
      </c>
      <c r="K51" s="1" t="s">
        <v>240</v>
      </c>
    </row>
    <row r="52" spans="1:11" x14ac:dyDescent="0.35">
      <c r="A52" s="1" t="s">
        <v>62</v>
      </c>
      <c r="B52" s="1" t="s">
        <v>63</v>
      </c>
      <c r="C52" s="1" t="s">
        <v>206</v>
      </c>
      <c r="D52" s="1" t="s">
        <v>206</v>
      </c>
      <c r="E52" s="1" t="s">
        <v>207</v>
      </c>
      <c r="F52" s="1" t="s">
        <v>289</v>
      </c>
      <c r="G52" s="1" t="s">
        <v>209</v>
      </c>
      <c r="H52" s="1" t="s">
        <v>209</v>
      </c>
      <c r="I52" s="1" t="s">
        <v>209</v>
      </c>
      <c r="J52" s="1" t="s">
        <v>209</v>
      </c>
      <c r="K52" s="1" t="s">
        <v>209</v>
      </c>
    </row>
    <row r="53" spans="1:11" x14ac:dyDescent="0.35">
      <c r="A53" s="1" t="s">
        <v>62</v>
      </c>
      <c r="B53" s="1" t="s">
        <v>63</v>
      </c>
      <c r="C53" s="1" t="s">
        <v>210</v>
      </c>
      <c r="D53" s="1" t="s">
        <v>211</v>
      </c>
      <c r="E53" s="1" t="s">
        <v>212</v>
      </c>
      <c r="F53" s="1" t="s">
        <v>290</v>
      </c>
      <c r="G53" s="1" t="s">
        <v>210</v>
      </c>
      <c r="H53" s="1" t="s">
        <v>62</v>
      </c>
      <c r="I53" s="1" t="s">
        <v>214</v>
      </c>
      <c r="J53" s="1" t="s">
        <v>215</v>
      </c>
      <c r="K53" s="1" t="s">
        <v>216</v>
      </c>
    </row>
    <row r="54" spans="1:11" x14ac:dyDescent="0.35">
      <c r="A54" s="1" t="s">
        <v>62</v>
      </c>
      <c r="B54" s="1" t="s">
        <v>63</v>
      </c>
      <c r="C54" s="1" t="s">
        <v>217</v>
      </c>
      <c r="D54" s="1" t="s">
        <v>211</v>
      </c>
      <c r="E54" s="1" t="s">
        <v>218</v>
      </c>
      <c r="F54" s="1" t="s">
        <v>291</v>
      </c>
      <c r="G54" s="1" t="s">
        <v>217</v>
      </c>
      <c r="H54" s="1" t="s">
        <v>220</v>
      </c>
      <c r="I54" s="1" t="s">
        <v>221</v>
      </c>
      <c r="J54" s="1" t="s">
        <v>215</v>
      </c>
      <c r="K54" s="1" t="s">
        <v>222</v>
      </c>
    </row>
    <row r="55" spans="1:11" x14ac:dyDescent="0.35">
      <c r="A55" s="1" t="s">
        <v>62</v>
      </c>
      <c r="B55" s="1" t="s">
        <v>63</v>
      </c>
      <c r="C55" s="1" t="s">
        <v>223</v>
      </c>
      <c r="D55" s="1" t="s">
        <v>211</v>
      </c>
      <c r="E55" s="1" t="s">
        <v>224</v>
      </c>
      <c r="F55" s="1" t="s">
        <v>292</v>
      </c>
      <c r="G55" s="1" t="s">
        <v>223</v>
      </c>
      <c r="H55" s="1" t="s">
        <v>220</v>
      </c>
      <c r="I55" s="1" t="s">
        <v>221</v>
      </c>
      <c r="J55" s="1" t="s">
        <v>215</v>
      </c>
      <c r="K55" s="1" t="s">
        <v>222</v>
      </c>
    </row>
    <row r="56" spans="1:11" x14ac:dyDescent="0.35">
      <c r="A56" s="1" t="s">
        <v>62</v>
      </c>
      <c r="B56" s="1" t="s">
        <v>63</v>
      </c>
      <c r="C56" s="1" t="s">
        <v>226</v>
      </c>
      <c r="D56" s="1" t="s">
        <v>211</v>
      </c>
      <c r="E56" s="1" t="s">
        <v>227</v>
      </c>
      <c r="F56" s="1" t="s">
        <v>293</v>
      </c>
      <c r="G56" s="1" t="s">
        <v>226</v>
      </c>
      <c r="H56" s="1" t="s">
        <v>229</v>
      </c>
      <c r="I56" s="1" t="s">
        <v>230</v>
      </c>
      <c r="J56" s="1" t="s">
        <v>215</v>
      </c>
      <c r="K56" s="1" t="s">
        <v>231</v>
      </c>
    </row>
    <row r="57" spans="1:11" x14ac:dyDescent="0.35">
      <c r="A57" s="1" t="s">
        <v>62</v>
      </c>
      <c r="B57" s="1" t="s">
        <v>63</v>
      </c>
      <c r="C57" s="1" t="s">
        <v>232</v>
      </c>
      <c r="D57" s="1" t="s">
        <v>211</v>
      </c>
      <c r="E57" s="1" t="s">
        <v>233</v>
      </c>
      <c r="F57" s="1" t="s">
        <v>294</v>
      </c>
      <c r="G57" s="1" t="s">
        <v>232</v>
      </c>
      <c r="H57" s="1" t="s">
        <v>220</v>
      </c>
      <c r="I57" s="1" t="s">
        <v>221</v>
      </c>
      <c r="J57" s="1" t="s">
        <v>215</v>
      </c>
      <c r="K57" s="1" t="s">
        <v>231</v>
      </c>
    </row>
    <row r="58" spans="1:11" x14ac:dyDescent="0.35">
      <c r="A58" s="1" t="s">
        <v>62</v>
      </c>
      <c r="B58" s="1" t="s">
        <v>63</v>
      </c>
      <c r="C58" s="1" t="s">
        <v>235</v>
      </c>
      <c r="D58" s="1" t="s">
        <v>211</v>
      </c>
      <c r="E58" s="1" t="s">
        <v>236</v>
      </c>
      <c r="F58" s="1" t="s">
        <v>295</v>
      </c>
      <c r="G58" s="1" t="s">
        <v>235</v>
      </c>
      <c r="H58" s="1" t="s">
        <v>238</v>
      </c>
      <c r="I58" s="1" t="s">
        <v>239</v>
      </c>
      <c r="J58" s="1" t="s">
        <v>215</v>
      </c>
      <c r="K58" s="1" t="s">
        <v>240</v>
      </c>
    </row>
    <row r="59" spans="1:11" x14ac:dyDescent="0.35">
      <c r="A59" s="1" t="s">
        <v>62</v>
      </c>
      <c r="B59" s="1" t="s">
        <v>63</v>
      </c>
      <c r="C59" s="1" t="s">
        <v>241</v>
      </c>
      <c r="D59" s="1" t="s">
        <v>211</v>
      </c>
      <c r="E59" s="1" t="s">
        <v>242</v>
      </c>
      <c r="F59" s="1" t="s">
        <v>296</v>
      </c>
      <c r="G59" s="1" t="s">
        <v>241</v>
      </c>
      <c r="H59" s="1" t="s">
        <v>229</v>
      </c>
      <c r="I59" s="1" t="s">
        <v>230</v>
      </c>
      <c r="J59" s="1" t="s">
        <v>215</v>
      </c>
      <c r="K59" s="1" t="s">
        <v>240</v>
      </c>
    </row>
    <row r="60" spans="1:11" x14ac:dyDescent="0.35">
      <c r="A60" s="1" t="s">
        <v>62</v>
      </c>
      <c r="B60" s="1" t="s">
        <v>63</v>
      </c>
      <c r="C60" s="1" t="s">
        <v>244</v>
      </c>
      <c r="D60" s="1" t="s">
        <v>211</v>
      </c>
      <c r="E60" s="1" t="s">
        <v>245</v>
      </c>
      <c r="F60" s="1" t="s">
        <v>246</v>
      </c>
      <c r="G60" s="1" t="s">
        <v>244</v>
      </c>
      <c r="H60" s="1" t="s">
        <v>62</v>
      </c>
      <c r="I60" s="1" t="s">
        <v>214</v>
      </c>
      <c r="J60" s="1" t="s">
        <v>247</v>
      </c>
      <c r="K60" s="1" t="s">
        <v>248</v>
      </c>
    </row>
    <row r="61" spans="1:11" x14ac:dyDescent="0.35">
      <c r="A61" s="1" t="s">
        <v>62</v>
      </c>
      <c r="B61" s="1" t="s">
        <v>63</v>
      </c>
      <c r="C61" s="1" t="s">
        <v>249</v>
      </c>
      <c r="D61" s="1" t="s">
        <v>211</v>
      </c>
      <c r="E61" s="1" t="s">
        <v>250</v>
      </c>
      <c r="F61" s="1" t="s">
        <v>297</v>
      </c>
      <c r="G61" s="1" t="s">
        <v>249</v>
      </c>
      <c r="H61" s="1" t="s">
        <v>252</v>
      </c>
      <c r="I61" s="1" t="s">
        <v>249</v>
      </c>
      <c r="J61" s="1" t="s">
        <v>215</v>
      </c>
      <c r="K61" s="1" t="s">
        <v>240</v>
      </c>
    </row>
    <row r="62" spans="1:11" x14ac:dyDescent="0.35">
      <c r="A62" s="1" t="s">
        <v>71</v>
      </c>
      <c r="B62" s="1" t="s">
        <v>72</v>
      </c>
      <c r="C62" s="1" t="s">
        <v>206</v>
      </c>
      <c r="D62" s="1" t="s">
        <v>206</v>
      </c>
      <c r="E62" s="1" t="s">
        <v>207</v>
      </c>
      <c r="F62" s="1" t="s">
        <v>298</v>
      </c>
      <c r="G62" s="1" t="s">
        <v>209</v>
      </c>
      <c r="H62" s="1" t="s">
        <v>209</v>
      </c>
      <c r="I62" s="1" t="s">
        <v>209</v>
      </c>
      <c r="J62" s="1" t="s">
        <v>209</v>
      </c>
      <c r="K62" s="1" t="s">
        <v>209</v>
      </c>
    </row>
    <row r="63" spans="1:11" x14ac:dyDescent="0.35">
      <c r="A63" s="1" t="s">
        <v>71</v>
      </c>
      <c r="B63" s="1" t="s">
        <v>72</v>
      </c>
      <c r="C63" s="1" t="s">
        <v>210</v>
      </c>
      <c r="D63" s="1" t="s">
        <v>211</v>
      </c>
      <c r="E63" s="1" t="s">
        <v>212</v>
      </c>
      <c r="F63" s="1" t="s">
        <v>299</v>
      </c>
      <c r="G63" s="1" t="s">
        <v>210</v>
      </c>
      <c r="H63" s="1" t="s">
        <v>71</v>
      </c>
      <c r="I63" s="1" t="s">
        <v>214</v>
      </c>
      <c r="J63" s="1" t="s">
        <v>215</v>
      </c>
      <c r="K63" s="1" t="s">
        <v>216</v>
      </c>
    </row>
    <row r="64" spans="1:11" x14ac:dyDescent="0.35">
      <c r="A64" s="1" t="s">
        <v>71</v>
      </c>
      <c r="B64" s="1" t="s">
        <v>72</v>
      </c>
      <c r="C64" s="1" t="s">
        <v>217</v>
      </c>
      <c r="D64" s="1" t="s">
        <v>211</v>
      </c>
      <c r="E64" s="1" t="s">
        <v>218</v>
      </c>
      <c r="F64" s="1" t="s">
        <v>300</v>
      </c>
      <c r="G64" s="1" t="s">
        <v>217</v>
      </c>
      <c r="H64" s="1" t="s">
        <v>220</v>
      </c>
      <c r="I64" s="1" t="s">
        <v>221</v>
      </c>
      <c r="J64" s="1" t="s">
        <v>215</v>
      </c>
      <c r="K64" s="1" t="s">
        <v>222</v>
      </c>
    </row>
    <row r="65" spans="1:11" x14ac:dyDescent="0.35">
      <c r="A65" s="1" t="s">
        <v>71</v>
      </c>
      <c r="B65" s="1" t="s">
        <v>72</v>
      </c>
      <c r="C65" s="1" t="s">
        <v>223</v>
      </c>
      <c r="D65" s="1" t="s">
        <v>211</v>
      </c>
      <c r="E65" s="1" t="s">
        <v>224</v>
      </c>
      <c r="F65" s="1" t="s">
        <v>301</v>
      </c>
      <c r="G65" s="1" t="s">
        <v>223</v>
      </c>
      <c r="H65" s="1" t="s">
        <v>220</v>
      </c>
      <c r="I65" s="1" t="s">
        <v>221</v>
      </c>
      <c r="J65" s="1" t="s">
        <v>215</v>
      </c>
      <c r="K65" s="1" t="s">
        <v>222</v>
      </c>
    </row>
    <row r="66" spans="1:11" x14ac:dyDescent="0.35">
      <c r="A66" s="1" t="s">
        <v>71</v>
      </c>
      <c r="B66" s="1" t="s">
        <v>72</v>
      </c>
      <c r="C66" s="1" t="s">
        <v>226</v>
      </c>
      <c r="D66" s="1" t="s">
        <v>211</v>
      </c>
      <c r="E66" s="1" t="s">
        <v>227</v>
      </c>
      <c r="F66" s="1" t="s">
        <v>302</v>
      </c>
      <c r="G66" s="1" t="s">
        <v>226</v>
      </c>
      <c r="H66" s="1" t="s">
        <v>229</v>
      </c>
      <c r="I66" s="1" t="s">
        <v>230</v>
      </c>
      <c r="J66" s="1" t="s">
        <v>215</v>
      </c>
      <c r="K66" s="1" t="s">
        <v>231</v>
      </c>
    </row>
    <row r="67" spans="1:11" x14ac:dyDescent="0.35">
      <c r="A67" s="1" t="s">
        <v>71</v>
      </c>
      <c r="B67" s="1" t="s">
        <v>72</v>
      </c>
      <c r="C67" s="1" t="s">
        <v>232</v>
      </c>
      <c r="D67" s="1" t="s">
        <v>211</v>
      </c>
      <c r="E67" s="1" t="s">
        <v>233</v>
      </c>
      <c r="F67" s="1" t="s">
        <v>303</v>
      </c>
      <c r="G67" s="1" t="s">
        <v>232</v>
      </c>
      <c r="H67" s="1" t="s">
        <v>220</v>
      </c>
      <c r="I67" s="1" t="s">
        <v>221</v>
      </c>
      <c r="J67" s="1" t="s">
        <v>215</v>
      </c>
      <c r="K67" s="1" t="s">
        <v>231</v>
      </c>
    </row>
    <row r="68" spans="1:11" x14ac:dyDescent="0.35">
      <c r="A68" s="1" t="s">
        <v>71</v>
      </c>
      <c r="B68" s="1" t="s">
        <v>72</v>
      </c>
      <c r="C68" s="1" t="s">
        <v>235</v>
      </c>
      <c r="D68" s="1" t="s">
        <v>211</v>
      </c>
      <c r="E68" s="1" t="s">
        <v>236</v>
      </c>
      <c r="F68" s="1" t="s">
        <v>304</v>
      </c>
      <c r="G68" s="1" t="s">
        <v>235</v>
      </c>
      <c r="H68" s="1" t="s">
        <v>238</v>
      </c>
      <c r="I68" s="1" t="s">
        <v>239</v>
      </c>
      <c r="J68" s="1" t="s">
        <v>215</v>
      </c>
      <c r="K68" s="1" t="s">
        <v>240</v>
      </c>
    </row>
    <row r="69" spans="1:11" x14ac:dyDescent="0.35">
      <c r="A69" s="1" t="s">
        <v>71</v>
      </c>
      <c r="B69" s="1" t="s">
        <v>72</v>
      </c>
      <c r="C69" s="1" t="s">
        <v>241</v>
      </c>
      <c r="D69" s="1" t="s">
        <v>211</v>
      </c>
      <c r="E69" s="1" t="s">
        <v>242</v>
      </c>
      <c r="F69" s="1" t="s">
        <v>305</v>
      </c>
      <c r="G69" s="1" t="s">
        <v>241</v>
      </c>
      <c r="H69" s="1" t="s">
        <v>229</v>
      </c>
      <c r="I69" s="1" t="s">
        <v>230</v>
      </c>
      <c r="J69" s="1" t="s">
        <v>215</v>
      </c>
      <c r="K69" s="1" t="s">
        <v>240</v>
      </c>
    </row>
    <row r="70" spans="1:11" x14ac:dyDescent="0.35">
      <c r="A70" s="1" t="s">
        <v>71</v>
      </c>
      <c r="B70" s="1" t="s">
        <v>72</v>
      </c>
      <c r="C70" s="1" t="s">
        <v>244</v>
      </c>
      <c r="D70" s="1" t="s">
        <v>211</v>
      </c>
      <c r="E70" s="1" t="s">
        <v>245</v>
      </c>
      <c r="F70" s="1" t="s">
        <v>246</v>
      </c>
      <c r="G70" s="1" t="s">
        <v>244</v>
      </c>
      <c r="H70" s="1" t="s">
        <v>71</v>
      </c>
      <c r="I70" s="1" t="s">
        <v>214</v>
      </c>
      <c r="J70" s="1" t="s">
        <v>247</v>
      </c>
      <c r="K70" s="1" t="s">
        <v>248</v>
      </c>
    </row>
    <row r="71" spans="1:11" x14ac:dyDescent="0.35">
      <c r="A71" s="1" t="s">
        <v>71</v>
      </c>
      <c r="B71" s="1" t="s">
        <v>72</v>
      </c>
      <c r="C71" s="1" t="s">
        <v>249</v>
      </c>
      <c r="D71" s="1" t="s">
        <v>211</v>
      </c>
      <c r="E71" s="1" t="s">
        <v>250</v>
      </c>
      <c r="F71" s="1" t="s">
        <v>306</v>
      </c>
      <c r="G71" s="1" t="s">
        <v>249</v>
      </c>
      <c r="H71" s="1" t="s">
        <v>252</v>
      </c>
      <c r="I71" s="1" t="s">
        <v>249</v>
      </c>
      <c r="J71" s="1" t="s">
        <v>215</v>
      </c>
      <c r="K71" s="1" t="s">
        <v>240</v>
      </c>
    </row>
    <row r="72" spans="1:11" x14ac:dyDescent="0.35">
      <c r="A72" s="1" t="s">
        <v>80</v>
      </c>
      <c r="B72" s="1" t="s">
        <v>81</v>
      </c>
      <c r="C72" s="1" t="s">
        <v>206</v>
      </c>
      <c r="D72" s="1" t="s">
        <v>206</v>
      </c>
      <c r="E72" s="1" t="s">
        <v>207</v>
      </c>
      <c r="F72" s="1" t="s">
        <v>307</v>
      </c>
      <c r="G72" s="1" t="s">
        <v>209</v>
      </c>
      <c r="H72" s="1" t="s">
        <v>209</v>
      </c>
      <c r="I72" s="1" t="s">
        <v>209</v>
      </c>
      <c r="J72" s="1" t="s">
        <v>209</v>
      </c>
      <c r="K72" s="1" t="s">
        <v>209</v>
      </c>
    </row>
    <row r="73" spans="1:11" x14ac:dyDescent="0.35">
      <c r="A73" s="1" t="s">
        <v>80</v>
      </c>
      <c r="B73" s="1" t="s">
        <v>81</v>
      </c>
      <c r="C73" s="1" t="s">
        <v>210</v>
      </c>
      <c r="D73" s="1" t="s">
        <v>211</v>
      </c>
      <c r="E73" s="1" t="s">
        <v>212</v>
      </c>
      <c r="F73" s="1" t="s">
        <v>308</v>
      </c>
      <c r="G73" s="1" t="s">
        <v>210</v>
      </c>
      <c r="H73" s="1" t="s">
        <v>80</v>
      </c>
      <c r="I73" s="1" t="s">
        <v>214</v>
      </c>
      <c r="J73" s="1" t="s">
        <v>215</v>
      </c>
      <c r="K73" s="1" t="s">
        <v>216</v>
      </c>
    </row>
    <row r="74" spans="1:11" x14ac:dyDescent="0.35">
      <c r="A74" s="1" t="s">
        <v>80</v>
      </c>
      <c r="B74" s="1" t="s">
        <v>81</v>
      </c>
      <c r="C74" s="1" t="s">
        <v>217</v>
      </c>
      <c r="D74" s="1" t="s">
        <v>211</v>
      </c>
      <c r="E74" s="1" t="s">
        <v>218</v>
      </c>
      <c r="F74" s="1" t="s">
        <v>309</v>
      </c>
      <c r="G74" s="1" t="s">
        <v>217</v>
      </c>
      <c r="H74" s="1" t="s">
        <v>220</v>
      </c>
      <c r="I74" s="1" t="s">
        <v>221</v>
      </c>
      <c r="J74" s="1" t="s">
        <v>215</v>
      </c>
      <c r="K74" s="1" t="s">
        <v>222</v>
      </c>
    </row>
    <row r="75" spans="1:11" x14ac:dyDescent="0.35">
      <c r="A75" s="1" t="s">
        <v>80</v>
      </c>
      <c r="B75" s="1" t="s">
        <v>81</v>
      </c>
      <c r="C75" s="1" t="s">
        <v>223</v>
      </c>
      <c r="D75" s="1" t="s">
        <v>211</v>
      </c>
      <c r="E75" s="1" t="s">
        <v>224</v>
      </c>
      <c r="F75" s="1" t="s">
        <v>310</v>
      </c>
      <c r="G75" s="1" t="s">
        <v>223</v>
      </c>
      <c r="H75" s="1" t="s">
        <v>220</v>
      </c>
      <c r="I75" s="1" t="s">
        <v>221</v>
      </c>
      <c r="J75" s="1" t="s">
        <v>215</v>
      </c>
      <c r="K75" s="1" t="s">
        <v>222</v>
      </c>
    </row>
    <row r="76" spans="1:11" x14ac:dyDescent="0.35">
      <c r="A76" s="1" t="s">
        <v>80</v>
      </c>
      <c r="B76" s="1" t="s">
        <v>81</v>
      </c>
      <c r="C76" s="1" t="s">
        <v>226</v>
      </c>
      <c r="D76" s="1" t="s">
        <v>211</v>
      </c>
      <c r="E76" s="1" t="s">
        <v>227</v>
      </c>
      <c r="F76" s="1" t="s">
        <v>311</v>
      </c>
      <c r="G76" s="1" t="s">
        <v>226</v>
      </c>
      <c r="H76" s="1" t="s">
        <v>229</v>
      </c>
      <c r="I76" s="1" t="s">
        <v>230</v>
      </c>
      <c r="J76" s="1" t="s">
        <v>215</v>
      </c>
      <c r="K76" s="1" t="s">
        <v>231</v>
      </c>
    </row>
    <row r="77" spans="1:11" x14ac:dyDescent="0.35">
      <c r="A77" s="1" t="s">
        <v>80</v>
      </c>
      <c r="B77" s="1" t="s">
        <v>81</v>
      </c>
      <c r="C77" s="1" t="s">
        <v>232</v>
      </c>
      <c r="D77" s="1" t="s">
        <v>211</v>
      </c>
      <c r="E77" s="1" t="s">
        <v>233</v>
      </c>
      <c r="F77" s="1" t="s">
        <v>312</v>
      </c>
      <c r="G77" s="1" t="s">
        <v>232</v>
      </c>
      <c r="H77" s="1" t="s">
        <v>220</v>
      </c>
      <c r="I77" s="1" t="s">
        <v>221</v>
      </c>
      <c r="J77" s="1" t="s">
        <v>215</v>
      </c>
      <c r="K77" s="1" t="s">
        <v>231</v>
      </c>
    </row>
    <row r="78" spans="1:11" x14ac:dyDescent="0.35">
      <c r="A78" s="1" t="s">
        <v>80</v>
      </c>
      <c r="B78" s="1" t="s">
        <v>81</v>
      </c>
      <c r="C78" s="1" t="s">
        <v>235</v>
      </c>
      <c r="D78" s="1" t="s">
        <v>211</v>
      </c>
      <c r="E78" s="1" t="s">
        <v>236</v>
      </c>
      <c r="F78" s="1" t="s">
        <v>313</v>
      </c>
      <c r="G78" s="1" t="s">
        <v>235</v>
      </c>
      <c r="H78" s="1" t="s">
        <v>238</v>
      </c>
      <c r="I78" s="1" t="s">
        <v>239</v>
      </c>
      <c r="J78" s="1" t="s">
        <v>215</v>
      </c>
      <c r="K78" s="1" t="s">
        <v>240</v>
      </c>
    </row>
    <row r="79" spans="1:11" x14ac:dyDescent="0.35">
      <c r="A79" s="1" t="s">
        <v>80</v>
      </c>
      <c r="B79" s="1" t="s">
        <v>81</v>
      </c>
      <c r="C79" s="1" t="s">
        <v>241</v>
      </c>
      <c r="D79" s="1" t="s">
        <v>211</v>
      </c>
      <c r="E79" s="1" t="s">
        <v>242</v>
      </c>
      <c r="F79" s="1" t="s">
        <v>314</v>
      </c>
      <c r="G79" s="1" t="s">
        <v>241</v>
      </c>
      <c r="H79" s="1" t="s">
        <v>229</v>
      </c>
      <c r="I79" s="1" t="s">
        <v>230</v>
      </c>
      <c r="J79" s="1" t="s">
        <v>215</v>
      </c>
      <c r="K79" s="1" t="s">
        <v>240</v>
      </c>
    </row>
    <row r="80" spans="1:11" x14ac:dyDescent="0.35">
      <c r="A80" s="1" t="s">
        <v>80</v>
      </c>
      <c r="B80" s="1" t="s">
        <v>81</v>
      </c>
      <c r="C80" s="1" t="s">
        <v>244</v>
      </c>
      <c r="D80" s="1" t="s">
        <v>211</v>
      </c>
      <c r="E80" s="1" t="s">
        <v>245</v>
      </c>
      <c r="F80" s="1" t="s">
        <v>246</v>
      </c>
      <c r="G80" s="1" t="s">
        <v>244</v>
      </c>
      <c r="H80" s="1" t="s">
        <v>80</v>
      </c>
      <c r="I80" s="1" t="s">
        <v>214</v>
      </c>
      <c r="J80" s="1" t="s">
        <v>247</v>
      </c>
      <c r="K80" s="1" t="s">
        <v>248</v>
      </c>
    </row>
    <row r="81" spans="1:11" x14ac:dyDescent="0.35">
      <c r="A81" s="1" t="s">
        <v>80</v>
      </c>
      <c r="B81" s="1" t="s">
        <v>81</v>
      </c>
      <c r="C81" s="1" t="s">
        <v>249</v>
      </c>
      <c r="D81" s="1" t="s">
        <v>211</v>
      </c>
      <c r="E81" s="1" t="s">
        <v>250</v>
      </c>
      <c r="F81" s="1" t="s">
        <v>315</v>
      </c>
      <c r="G81" s="1" t="s">
        <v>249</v>
      </c>
      <c r="H81" s="1" t="s">
        <v>252</v>
      </c>
      <c r="I81" s="1" t="s">
        <v>249</v>
      </c>
      <c r="J81" s="1" t="s">
        <v>215</v>
      </c>
      <c r="K81" s="1" t="s">
        <v>240</v>
      </c>
    </row>
    <row r="82" spans="1:11" x14ac:dyDescent="0.35">
      <c r="A82" s="1" t="s">
        <v>89</v>
      </c>
      <c r="B82" s="1" t="s">
        <v>90</v>
      </c>
      <c r="C82" s="1" t="s">
        <v>206</v>
      </c>
      <c r="D82" s="1" t="s">
        <v>206</v>
      </c>
      <c r="E82" s="1" t="s">
        <v>207</v>
      </c>
      <c r="F82" s="1" t="s">
        <v>316</v>
      </c>
      <c r="G82" s="1" t="s">
        <v>209</v>
      </c>
      <c r="H82" s="1" t="s">
        <v>209</v>
      </c>
      <c r="I82" s="1" t="s">
        <v>209</v>
      </c>
      <c r="J82" s="1" t="s">
        <v>209</v>
      </c>
      <c r="K82" s="1" t="s">
        <v>209</v>
      </c>
    </row>
    <row r="83" spans="1:11" x14ac:dyDescent="0.35">
      <c r="A83" s="1" t="s">
        <v>89</v>
      </c>
      <c r="B83" s="1" t="s">
        <v>90</v>
      </c>
      <c r="C83" s="1" t="s">
        <v>210</v>
      </c>
      <c r="D83" s="1" t="s">
        <v>211</v>
      </c>
      <c r="E83" s="1" t="s">
        <v>212</v>
      </c>
      <c r="F83" s="1" t="s">
        <v>317</v>
      </c>
      <c r="G83" s="1" t="s">
        <v>210</v>
      </c>
      <c r="H83" s="1" t="s">
        <v>89</v>
      </c>
      <c r="I83" s="1" t="s">
        <v>214</v>
      </c>
      <c r="J83" s="1" t="s">
        <v>215</v>
      </c>
      <c r="K83" s="1" t="s">
        <v>216</v>
      </c>
    </row>
    <row r="84" spans="1:11" x14ac:dyDescent="0.35">
      <c r="A84" s="1" t="s">
        <v>89</v>
      </c>
      <c r="B84" s="1" t="s">
        <v>90</v>
      </c>
      <c r="C84" s="1" t="s">
        <v>217</v>
      </c>
      <c r="D84" s="1" t="s">
        <v>211</v>
      </c>
      <c r="E84" s="1" t="s">
        <v>218</v>
      </c>
      <c r="F84" s="1" t="s">
        <v>318</v>
      </c>
      <c r="G84" s="1" t="s">
        <v>217</v>
      </c>
      <c r="H84" s="1" t="s">
        <v>220</v>
      </c>
      <c r="I84" s="1" t="s">
        <v>221</v>
      </c>
      <c r="J84" s="1" t="s">
        <v>215</v>
      </c>
      <c r="K84" s="1" t="s">
        <v>222</v>
      </c>
    </row>
    <row r="85" spans="1:11" x14ac:dyDescent="0.35">
      <c r="A85" s="1" t="s">
        <v>89</v>
      </c>
      <c r="B85" s="1" t="s">
        <v>90</v>
      </c>
      <c r="C85" s="1" t="s">
        <v>223</v>
      </c>
      <c r="D85" s="1" t="s">
        <v>211</v>
      </c>
      <c r="E85" s="1" t="s">
        <v>224</v>
      </c>
      <c r="F85" s="1" t="s">
        <v>319</v>
      </c>
      <c r="G85" s="1" t="s">
        <v>223</v>
      </c>
      <c r="H85" s="1" t="s">
        <v>220</v>
      </c>
      <c r="I85" s="1" t="s">
        <v>221</v>
      </c>
      <c r="J85" s="1" t="s">
        <v>215</v>
      </c>
      <c r="K85" s="1" t="s">
        <v>222</v>
      </c>
    </row>
    <row r="86" spans="1:11" x14ac:dyDescent="0.35">
      <c r="A86" s="1" t="s">
        <v>89</v>
      </c>
      <c r="B86" s="1" t="s">
        <v>90</v>
      </c>
      <c r="C86" s="1" t="s">
        <v>226</v>
      </c>
      <c r="D86" s="1" t="s">
        <v>211</v>
      </c>
      <c r="E86" s="1" t="s">
        <v>227</v>
      </c>
      <c r="F86" s="1" t="s">
        <v>320</v>
      </c>
      <c r="G86" s="1" t="s">
        <v>226</v>
      </c>
      <c r="H86" s="1" t="s">
        <v>229</v>
      </c>
      <c r="I86" s="1" t="s">
        <v>230</v>
      </c>
      <c r="J86" s="1" t="s">
        <v>215</v>
      </c>
      <c r="K86" s="1" t="s">
        <v>231</v>
      </c>
    </row>
    <row r="87" spans="1:11" x14ac:dyDescent="0.35">
      <c r="A87" s="1" t="s">
        <v>89</v>
      </c>
      <c r="B87" s="1" t="s">
        <v>90</v>
      </c>
      <c r="C87" s="1" t="s">
        <v>232</v>
      </c>
      <c r="D87" s="1" t="s">
        <v>211</v>
      </c>
      <c r="E87" s="1" t="s">
        <v>233</v>
      </c>
      <c r="F87" s="1" t="s">
        <v>321</v>
      </c>
      <c r="G87" s="1" t="s">
        <v>232</v>
      </c>
      <c r="H87" s="1" t="s">
        <v>220</v>
      </c>
      <c r="I87" s="1" t="s">
        <v>221</v>
      </c>
      <c r="J87" s="1" t="s">
        <v>215</v>
      </c>
      <c r="K87" s="1" t="s">
        <v>231</v>
      </c>
    </row>
    <row r="88" spans="1:11" x14ac:dyDescent="0.35">
      <c r="A88" s="1" t="s">
        <v>89</v>
      </c>
      <c r="B88" s="1" t="s">
        <v>90</v>
      </c>
      <c r="C88" s="1" t="s">
        <v>235</v>
      </c>
      <c r="D88" s="1" t="s">
        <v>211</v>
      </c>
      <c r="E88" s="1" t="s">
        <v>236</v>
      </c>
      <c r="F88" s="1" t="s">
        <v>322</v>
      </c>
      <c r="G88" s="1" t="s">
        <v>235</v>
      </c>
      <c r="H88" s="1" t="s">
        <v>238</v>
      </c>
      <c r="I88" s="1" t="s">
        <v>239</v>
      </c>
      <c r="J88" s="1" t="s">
        <v>215</v>
      </c>
      <c r="K88" s="1" t="s">
        <v>240</v>
      </c>
    </row>
    <row r="89" spans="1:11" x14ac:dyDescent="0.35">
      <c r="A89" s="1" t="s">
        <v>89</v>
      </c>
      <c r="B89" s="1" t="s">
        <v>90</v>
      </c>
      <c r="C89" s="1" t="s">
        <v>241</v>
      </c>
      <c r="D89" s="1" t="s">
        <v>211</v>
      </c>
      <c r="E89" s="1" t="s">
        <v>242</v>
      </c>
      <c r="F89" s="1" t="s">
        <v>323</v>
      </c>
      <c r="G89" s="1" t="s">
        <v>241</v>
      </c>
      <c r="H89" s="1" t="s">
        <v>229</v>
      </c>
      <c r="I89" s="1" t="s">
        <v>230</v>
      </c>
      <c r="J89" s="1" t="s">
        <v>215</v>
      </c>
      <c r="K89" s="1" t="s">
        <v>240</v>
      </c>
    </row>
    <row r="90" spans="1:11" x14ac:dyDescent="0.35">
      <c r="A90" s="1" t="s">
        <v>89</v>
      </c>
      <c r="B90" s="1" t="s">
        <v>90</v>
      </c>
      <c r="C90" s="1" t="s">
        <v>244</v>
      </c>
      <c r="D90" s="1" t="s">
        <v>211</v>
      </c>
      <c r="E90" s="1" t="s">
        <v>245</v>
      </c>
      <c r="F90" s="1" t="s">
        <v>246</v>
      </c>
      <c r="G90" s="1" t="s">
        <v>244</v>
      </c>
      <c r="H90" s="1" t="s">
        <v>89</v>
      </c>
      <c r="I90" s="1" t="s">
        <v>214</v>
      </c>
      <c r="J90" s="1" t="s">
        <v>247</v>
      </c>
      <c r="K90" s="1" t="s">
        <v>248</v>
      </c>
    </row>
    <row r="91" spans="1:11" x14ac:dyDescent="0.35">
      <c r="A91" s="1" t="s">
        <v>89</v>
      </c>
      <c r="B91" s="1" t="s">
        <v>90</v>
      </c>
      <c r="C91" s="1" t="s">
        <v>249</v>
      </c>
      <c r="D91" s="1" t="s">
        <v>211</v>
      </c>
      <c r="E91" s="1" t="s">
        <v>250</v>
      </c>
      <c r="F91" s="1" t="s">
        <v>324</v>
      </c>
      <c r="G91" s="1" t="s">
        <v>249</v>
      </c>
      <c r="H91" s="1" t="s">
        <v>252</v>
      </c>
      <c r="I91" s="1" t="s">
        <v>249</v>
      </c>
      <c r="J91" s="1" t="s">
        <v>215</v>
      </c>
      <c r="K91" s="1" t="s">
        <v>240</v>
      </c>
    </row>
    <row r="92" spans="1:11" x14ac:dyDescent="0.35">
      <c r="A92" s="1" t="s">
        <v>98</v>
      </c>
      <c r="B92" s="1" t="s">
        <v>99</v>
      </c>
      <c r="C92" s="1" t="s">
        <v>206</v>
      </c>
      <c r="D92" s="1" t="s">
        <v>206</v>
      </c>
      <c r="E92" s="1" t="s">
        <v>207</v>
      </c>
      <c r="F92" s="1" t="s">
        <v>325</v>
      </c>
      <c r="G92" s="1" t="s">
        <v>209</v>
      </c>
      <c r="H92" s="1" t="s">
        <v>209</v>
      </c>
      <c r="I92" s="1" t="s">
        <v>209</v>
      </c>
      <c r="J92" s="1" t="s">
        <v>209</v>
      </c>
      <c r="K92" s="1" t="s">
        <v>209</v>
      </c>
    </row>
    <row r="93" spans="1:11" x14ac:dyDescent="0.35">
      <c r="A93" s="1" t="s">
        <v>98</v>
      </c>
      <c r="B93" s="1" t="s">
        <v>99</v>
      </c>
      <c r="C93" s="1" t="s">
        <v>210</v>
      </c>
      <c r="D93" s="1" t="s">
        <v>211</v>
      </c>
      <c r="E93" s="1" t="s">
        <v>212</v>
      </c>
      <c r="F93" s="1" t="s">
        <v>326</v>
      </c>
      <c r="G93" s="1" t="s">
        <v>210</v>
      </c>
      <c r="H93" s="1" t="s">
        <v>98</v>
      </c>
      <c r="I93" s="1" t="s">
        <v>214</v>
      </c>
      <c r="J93" s="1" t="s">
        <v>215</v>
      </c>
      <c r="K93" s="1" t="s">
        <v>216</v>
      </c>
    </row>
    <row r="94" spans="1:11" x14ac:dyDescent="0.35">
      <c r="A94" s="1" t="s">
        <v>98</v>
      </c>
      <c r="B94" s="1" t="s">
        <v>99</v>
      </c>
      <c r="C94" s="1" t="s">
        <v>217</v>
      </c>
      <c r="D94" s="1" t="s">
        <v>211</v>
      </c>
      <c r="E94" s="1" t="s">
        <v>218</v>
      </c>
      <c r="F94" s="1" t="s">
        <v>327</v>
      </c>
      <c r="G94" s="1" t="s">
        <v>217</v>
      </c>
      <c r="H94" s="1" t="s">
        <v>220</v>
      </c>
      <c r="I94" s="1" t="s">
        <v>221</v>
      </c>
      <c r="J94" s="1" t="s">
        <v>215</v>
      </c>
      <c r="K94" s="1" t="s">
        <v>222</v>
      </c>
    </row>
    <row r="95" spans="1:11" x14ac:dyDescent="0.35">
      <c r="A95" s="1" t="s">
        <v>98</v>
      </c>
      <c r="B95" s="1" t="s">
        <v>99</v>
      </c>
      <c r="C95" s="1" t="s">
        <v>223</v>
      </c>
      <c r="D95" s="1" t="s">
        <v>211</v>
      </c>
      <c r="E95" s="1" t="s">
        <v>224</v>
      </c>
      <c r="F95" s="1" t="s">
        <v>328</v>
      </c>
      <c r="G95" s="1" t="s">
        <v>223</v>
      </c>
      <c r="H95" s="1" t="s">
        <v>220</v>
      </c>
      <c r="I95" s="1" t="s">
        <v>221</v>
      </c>
      <c r="J95" s="1" t="s">
        <v>215</v>
      </c>
      <c r="K95" s="1" t="s">
        <v>222</v>
      </c>
    </row>
    <row r="96" spans="1:11" x14ac:dyDescent="0.35">
      <c r="A96" s="1" t="s">
        <v>98</v>
      </c>
      <c r="B96" s="1" t="s">
        <v>99</v>
      </c>
      <c r="C96" s="1" t="s">
        <v>226</v>
      </c>
      <c r="D96" s="1" t="s">
        <v>211</v>
      </c>
      <c r="E96" s="1" t="s">
        <v>227</v>
      </c>
      <c r="F96" s="1" t="s">
        <v>329</v>
      </c>
      <c r="G96" s="1" t="s">
        <v>226</v>
      </c>
      <c r="H96" s="1" t="s">
        <v>229</v>
      </c>
      <c r="I96" s="1" t="s">
        <v>230</v>
      </c>
      <c r="J96" s="1" t="s">
        <v>215</v>
      </c>
      <c r="K96" s="1" t="s">
        <v>231</v>
      </c>
    </row>
    <row r="97" spans="1:11" x14ac:dyDescent="0.35">
      <c r="A97" s="1" t="s">
        <v>98</v>
      </c>
      <c r="B97" s="1" t="s">
        <v>99</v>
      </c>
      <c r="C97" s="1" t="s">
        <v>232</v>
      </c>
      <c r="D97" s="1" t="s">
        <v>211</v>
      </c>
      <c r="E97" s="1" t="s">
        <v>233</v>
      </c>
      <c r="F97" s="1" t="s">
        <v>330</v>
      </c>
      <c r="G97" s="1" t="s">
        <v>232</v>
      </c>
      <c r="H97" s="1" t="s">
        <v>220</v>
      </c>
      <c r="I97" s="1" t="s">
        <v>221</v>
      </c>
      <c r="J97" s="1" t="s">
        <v>215</v>
      </c>
      <c r="K97" s="1" t="s">
        <v>231</v>
      </c>
    </row>
    <row r="98" spans="1:11" x14ac:dyDescent="0.35">
      <c r="A98" s="1" t="s">
        <v>98</v>
      </c>
      <c r="B98" s="1" t="s">
        <v>99</v>
      </c>
      <c r="C98" s="1" t="s">
        <v>235</v>
      </c>
      <c r="D98" s="1" t="s">
        <v>211</v>
      </c>
      <c r="E98" s="1" t="s">
        <v>236</v>
      </c>
      <c r="F98" s="1" t="s">
        <v>331</v>
      </c>
      <c r="G98" s="1" t="s">
        <v>235</v>
      </c>
      <c r="H98" s="1" t="s">
        <v>238</v>
      </c>
      <c r="I98" s="1" t="s">
        <v>239</v>
      </c>
      <c r="J98" s="1" t="s">
        <v>215</v>
      </c>
      <c r="K98" s="1" t="s">
        <v>240</v>
      </c>
    </row>
    <row r="99" spans="1:11" x14ac:dyDescent="0.35">
      <c r="A99" s="1" t="s">
        <v>98</v>
      </c>
      <c r="B99" s="1" t="s">
        <v>99</v>
      </c>
      <c r="C99" s="1" t="s">
        <v>241</v>
      </c>
      <c r="D99" s="1" t="s">
        <v>211</v>
      </c>
      <c r="E99" s="1" t="s">
        <v>242</v>
      </c>
      <c r="F99" s="1" t="s">
        <v>332</v>
      </c>
      <c r="G99" s="1" t="s">
        <v>241</v>
      </c>
      <c r="H99" s="1" t="s">
        <v>229</v>
      </c>
      <c r="I99" s="1" t="s">
        <v>230</v>
      </c>
      <c r="J99" s="1" t="s">
        <v>215</v>
      </c>
      <c r="K99" s="1" t="s">
        <v>240</v>
      </c>
    </row>
    <row r="100" spans="1:11" x14ac:dyDescent="0.35">
      <c r="A100" s="1" t="s">
        <v>98</v>
      </c>
      <c r="B100" s="1" t="s">
        <v>99</v>
      </c>
      <c r="C100" s="1" t="s">
        <v>244</v>
      </c>
      <c r="D100" s="1" t="s">
        <v>211</v>
      </c>
      <c r="E100" s="1" t="s">
        <v>245</v>
      </c>
      <c r="F100" s="1" t="s">
        <v>246</v>
      </c>
      <c r="G100" s="1" t="s">
        <v>244</v>
      </c>
      <c r="H100" s="1" t="s">
        <v>98</v>
      </c>
      <c r="I100" s="1" t="s">
        <v>214</v>
      </c>
      <c r="J100" s="1" t="s">
        <v>247</v>
      </c>
      <c r="K100" s="1" t="s">
        <v>248</v>
      </c>
    </row>
    <row r="101" spans="1:11" x14ac:dyDescent="0.35">
      <c r="A101" s="1" t="s">
        <v>98</v>
      </c>
      <c r="B101" s="1" t="s">
        <v>99</v>
      </c>
      <c r="C101" s="1" t="s">
        <v>249</v>
      </c>
      <c r="D101" s="1" t="s">
        <v>211</v>
      </c>
      <c r="E101" s="1" t="s">
        <v>250</v>
      </c>
      <c r="F101" s="1" t="s">
        <v>333</v>
      </c>
      <c r="G101" s="1" t="s">
        <v>249</v>
      </c>
      <c r="H101" s="1" t="s">
        <v>252</v>
      </c>
      <c r="I101" s="1" t="s">
        <v>249</v>
      </c>
      <c r="J101" s="1" t="s">
        <v>215</v>
      </c>
      <c r="K101" s="1" t="s">
        <v>240</v>
      </c>
    </row>
    <row r="102" spans="1:11" x14ac:dyDescent="0.35">
      <c r="A102" s="1" t="s">
        <v>107</v>
      </c>
      <c r="B102" s="1" t="s">
        <v>108</v>
      </c>
      <c r="C102" s="1" t="s">
        <v>206</v>
      </c>
      <c r="D102" s="1" t="s">
        <v>206</v>
      </c>
      <c r="E102" s="1" t="s">
        <v>207</v>
      </c>
      <c r="F102" s="1" t="s">
        <v>334</v>
      </c>
      <c r="G102" s="1" t="s">
        <v>209</v>
      </c>
      <c r="H102" s="1" t="s">
        <v>209</v>
      </c>
      <c r="I102" s="1" t="s">
        <v>209</v>
      </c>
      <c r="J102" s="1" t="s">
        <v>209</v>
      </c>
      <c r="K102" s="1" t="s">
        <v>209</v>
      </c>
    </row>
    <row r="103" spans="1:11" x14ac:dyDescent="0.35">
      <c r="A103" s="1" t="s">
        <v>107</v>
      </c>
      <c r="B103" s="1" t="s">
        <v>108</v>
      </c>
      <c r="C103" s="1" t="s">
        <v>210</v>
      </c>
      <c r="D103" s="1" t="s">
        <v>211</v>
      </c>
      <c r="E103" s="1" t="s">
        <v>212</v>
      </c>
      <c r="F103" s="1" t="s">
        <v>335</v>
      </c>
      <c r="G103" s="1" t="s">
        <v>210</v>
      </c>
      <c r="H103" s="1" t="s">
        <v>107</v>
      </c>
      <c r="I103" s="1" t="s">
        <v>214</v>
      </c>
      <c r="J103" s="1" t="s">
        <v>215</v>
      </c>
      <c r="K103" s="1" t="s">
        <v>216</v>
      </c>
    </row>
    <row r="104" spans="1:11" x14ac:dyDescent="0.35">
      <c r="A104" s="1" t="s">
        <v>107</v>
      </c>
      <c r="B104" s="1" t="s">
        <v>108</v>
      </c>
      <c r="C104" s="1" t="s">
        <v>217</v>
      </c>
      <c r="D104" s="1" t="s">
        <v>211</v>
      </c>
      <c r="E104" s="1" t="s">
        <v>218</v>
      </c>
      <c r="F104" s="1" t="s">
        <v>336</v>
      </c>
      <c r="G104" s="1" t="s">
        <v>217</v>
      </c>
      <c r="H104" s="1" t="s">
        <v>220</v>
      </c>
      <c r="I104" s="1" t="s">
        <v>221</v>
      </c>
      <c r="J104" s="1" t="s">
        <v>215</v>
      </c>
      <c r="K104" s="1" t="s">
        <v>222</v>
      </c>
    </row>
    <row r="105" spans="1:11" x14ac:dyDescent="0.35">
      <c r="A105" s="1" t="s">
        <v>107</v>
      </c>
      <c r="B105" s="1" t="s">
        <v>108</v>
      </c>
      <c r="C105" s="1" t="s">
        <v>223</v>
      </c>
      <c r="D105" s="1" t="s">
        <v>211</v>
      </c>
      <c r="E105" s="1" t="s">
        <v>224</v>
      </c>
      <c r="F105" s="1" t="s">
        <v>337</v>
      </c>
      <c r="G105" s="1" t="s">
        <v>223</v>
      </c>
      <c r="H105" s="1" t="s">
        <v>220</v>
      </c>
      <c r="I105" s="1" t="s">
        <v>221</v>
      </c>
      <c r="J105" s="1" t="s">
        <v>215</v>
      </c>
      <c r="K105" s="1" t="s">
        <v>222</v>
      </c>
    </row>
    <row r="106" spans="1:11" x14ac:dyDescent="0.35">
      <c r="A106" s="1" t="s">
        <v>107</v>
      </c>
      <c r="B106" s="1" t="s">
        <v>108</v>
      </c>
      <c r="C106" s="1" t="s">
        <v>226</v>
      </c>
      <c r="D106" s="1" t="s">
        <v>211</v>
      </c>
      <c r="E106" s="1" t="s">
        <v>227</v>
      </c>
      <c r="F106" s="1" t="s">
        <v>338</v>
      </c>
      <c r="G106" s="1" t="s">
        <v>226</v>
      </c>
      <c r="H106" s="1" t="s">
        <v>229</v>
      </c>
      <c r="I106" s="1" t="s">
        <v>230</v>
      </c>
      <c r="J106" s="1" t="s">
        <v>215</v>
      </c>
      <c r="K106" s="1" t="s">
        <v>231</v>
      </c>
    </row>
    <row r="107" spans="1:11" x14ac:dyDescent="0.35">
      <c r="A107" s="1" t="s">
        <v>107</v>
      </c>
      <c r="B107" s="1" t="s">
        <v>108</v>
      </c>
      <c r="C107" s="1" t="s">
        <v>232</v>
      </c>
      <c r="D107" s="1" t="s">
        <v>211</v>
      </c>
      <c r="E107" s="1" t="s">
        <v>233</v>
      </c>
      <c r="F107" s="1" t="s">
        <v>339</v>
      </c>
      <c r="G107" s="1" t="s">
        <v>232</v>
      </c>
      <c r="H107" s="1" t="s">
        <v>220</v>
      </c>
      <c r="I107" s="1" t="s">
        <v>221</v>
      </c>
      <c r="J107" s="1" t="s">
        <v>215</v>
      </c>
      <c r="K107" s="1" t="s">
        <v>231</v>
      </c>
    </row>
    <row r="108" spans="1:11" x14ac:dyDescent="0.35">
      <c r="A108" s="1" t="s">
        <v>107</v>
      </c>
      <c r="B108" s="1" t="s">
        <v>108</v>
      </c>
      <c r="C108" s="1" t="s">
        <v>235</v>
      </c>
      <c r="D108" s="1" t="s">
        <v>211</v>
      </c>
      <c r="E108" s="1" t="s">
        <v>236</v>
      </c>
      <c r="F108" s="1" t="s">
        <v>340</v>
      </c>
      <c r="G108" s="1" t="s">
        <v>235</v>
      </c>
      <c r="H108" s="1" t="s">
        <v>238</v>
      </c>
      <c r="I108" s="1" t="s">
        <v>239</v>
      </c>
      <c r="J108" s="1" t="s">
        <v>215</v>
      </c>
      <c r="K108" s="1" t="s">
        <v>240</v>
      </c>
    </row>
    <row r="109" spans="1:11" x14ac:dyDescent="0.35">
      <c r="A109" s="1" t="s">
        <v>107</v>
      </c>
      <c r="B109" s="1" t="s">
        <v>108</v>
      </c>
      <c r="C109" s="1" t="s">
        <v>241</v>
      </c>
      <c r="D109" s="1" t="s">
        <v>211</v>
      </c>
      <c r="E109" s="1" t="s">
        <v>242</v>
      </c>
      <c r="F109" s="1" t="s">
        <v>341</v>
      </c>
      <c r="G109" s="1" t="s">
        <v>241</v>
      </c>
      <c r="H109" s="1" t="s">
        <v>229</v>
      </c>
      <c r="I109" s="1" t="s">
        <v>230</v>
      </c>
      <c r="J109" s="1" t="s">
        <v>215</v>
      </c>
      <c r="K109" s="1" t="s">
        <v>240</v>
      </c>
    </row>
    <row r="110" spans="1:11" x14ac:dyDescent="0.35">
      <c r="A110" s="1" t="s">
        <v>107</v>
      </c>
      <c r="B110" s="1" t="s">
        <v>108</v>
      </c>
      <c r="C110" s="1" t="s">
        <v>244</v>
      </c>
      <c r="D110" s="1" t="s">
        <v>211</v>
      </c>
      <c r="E110" s="1" t="s">
        <v>245</v>
      </c>
      <c r="F110" s="1" t="s">
        <v>246</v>
      </c>
      <c r="G110" s="1" t="s">
        <v>244</v>
      </c>
      <c r="H110" s="1" t="s">
        <v>107</v>
      </c>
      <c r="I110" s="1" t="s">
        <v>214</v>
      </c>
      <c r="J110" s="1" t="s">
        <v>247</v>
      </c>
      <c r="K110" s="1" t="s">
        <v>248</v>
      </c>
    </row>
    <row r="111" spans="1:11" x14ac:dyDescent="0.35">
      <c r="A111" s="1" t="s">
        <v>107</v>
      </c>
      <c r="B111" s="1" t="s">
        <v>108</v>
      </c>
      <c r="C111" s="1" t="s">
        <v>249</v>
      </c>
      <c r="D111" s="1" t="s">
        <v>211</v>
      </c>
      <c r="E111" s="1" t="s">
        <v>250</v>
      </c>
      <c r="F111" s="1" t="s">
        <v>342</v>
      </c>
      <c r="G111" s="1" t="s">
        <v>249</v>
      </c>
      <c r="H111" s="1" t="s">
        <v>252</v>
      </c>
      <c r="I111" s="1" t="s">
        <v>249</v>
      </c>
      <c r="J111" s="1" t="s">
        <v>215</v>
      </c>
      <c r="K111" s="1" t="s">
        <v>240</v>
      </c>
    </row>
    <row r="112" spans="1:11" x14ac:dyDescent="0.35">
      <c r="A112" s="1" t="s">
        <v>116</v>
      </c>
      <c r="B112" s="1" t="s">
        <v>117</v>
      </c>
      <c r="C112" s="1" t="s">
        <v>206</v>
      </c>
      <c r="D112" s="1" t="s">
        <v>206</v>
      </c>
      <c r="E112" s="1" t="s">
        <v>207</v>
      </c>
      <c r="F112" s="1" t="s">
        <v>343</v>
      </c>
      <c r="G112" s="1" t="s">
        <v>209</v>
      </c>
      <c r="H112" s="1" t="s">
        <v>209</v>
      </c>
      <c r="I112" s="1" t="s">
        <v>209</v>
      </c>
      <c r="J112" s="1" t="s">
        <v>209</v>
      </c>
      <c r="K112" s="1" t="s">
        <v>209</v>
      </c>
    </row>
    <row r="113" spans="1:11" x14ac:dyDescent="0.35">
      <c r="A113" s="1" t="s">
        <v>116</v>
      </c>
      <c r="B113" s="1" t="s">
        <v>117</v>
      </c>
      <c r="C113" s="1" t="s">
        <v>210</v>
      </c>
      <c r="D113" s="1" t="s">
        <v>211</v>
      </c>
      <c r="E113" s="1" t="s">
        <v>212</v>
      </c>
      <c r="F113" s="1" t="s">
        <v>344</v>
      </c>
      <c r="G113" s="1" t="s">
        <v>210</v>
      </c>
      <c r="H113" s="1" t="s">
        <v>116</v>
      </c>
      <c r="I113" s="1" t="s">
        <v>214</v>
      </c>
      <c r="J113" s="1" t="s">
        <v>215</v>
      </c>
      <c r="K113" s="1" t="s">
        <v>216</v>
      </c>
    </row>
    <row r="114" spans="1:11" x14ac:dyDescent="0.35">
      <c r="A114" s="1" t="s">
        <v>116</v>
      </c>
      <c r="B114" s="1" t="s">
        <v>117</v>
      </c>
      <c r="C114" s="1" t="s">
        <v>217</v>
      </c>
      <c r="D114" s="1" t="s">
        <v>211</v>
      </c>
      <c r="E114" s="1" t="s">
        <v>218</v>
      </c>
      <c r="F114" s="1" t="s">
        <v>345</v>
      </c>
      <c r="G114" s="1" t="s">
        <v>217</v>
      </c>
      <c r="H114" s="1" t="s">
        <v>220</v>
      </c>
      <c r="I114" s="1" t="s">
        <v>221</v>
      </c>
      <c r="J114" s="1" t="s">
        <v>215</v>
      </c>
      <c r="K114" s="1" t="s">
        <v>222</v>
      </c>
    </row>
    <row r="115" spans="1:11" x14ac:dyDescent="0.35">
      <c r="A115" s="1" t="s">
        <v>116</v>
      </c>
      <c r="B115" s="1" t="s">
        <v>117</v>
      </c>
      <c r="C115" s="1" t="s">
        <v>223</v>
      </c>
      <c r="D115" s="1" t="s">
        <v>211</v>
      </c>
      <c r="E115" s="1" t="s">
        <v>224</v>
      </c>
      <c r="F115" s="1" t="s">
        <v>346</v>
      </c>
      <c r="G115" s="1" t="s">
        <v>223</v>
      </c>
      <c r="H115" s="1" t="s">
        <v>220</v>
      </c>
      <c r="I115" s="1" t="s">
        <v>221</v>
      </c>
      <c r="J115" s="1" t="s">
        <v>215</v>
      </c>
      <c r="K115" s="1" t="s">
        <v>222</v>
      </c>
    </row>
    <row r="116" spans="1:11" x14ac:dyDescent="0.35">
      <c r="A116" s="1" t="s">
        <v>116</v>
      </c>
      <c r="B116" s="1" t="s">
        <v>117</v>
      </c>
      <c r="C116" s="1" t="s">
        <v>226</v>
      </c>
      <c r="D116" s="1" t="s">
        <v>211</v>
      </c>
      <c r="E116" s="1" t="s">
        <v>227</v>
      </c>
      <c r="F116" s="1" t="s">
        <v>347</v>
      </c>
      <c r="G116" s="1" t="s">
        <v>226</v>
      </c>
      <c r="H116" s="1" t="s">
        <v>229</v>
      </c>
      <c r="I116" s="1" t="s">
        <v>230</v>
      </c>
      <c r="J116" s="1" t="s">
        <v>215</v>
      </c>
      <c r="K116" s="1" t="s">
        <v>231</v>
      </c>
    </row>
    <row r="117" spans="1:11" x14ac:dyDescent="0.35">
      <c r="A117" s="1" t="s">
        <v>116</v>
      </c>
      <c r="B117" s="1" t="s">
        <v>117</v>
      </c>
      <c r="C117" s="1" t="s">
        <v>232</v>
      </c>
      <c r="D117" s="1" t="s">
        <v>211</v>
      </c>
      <c r="E117" s="1" t="s">
        <v>233</v>
      </c>
      <c r="F117" s="1" t="s">
        <v>348</v>
      </c>
      <c r="G117" s="1" t="s">
        <v>232</v>
      </c>
      <c r="H117" s="1" t="s">
        <v>220</v>
      </c>
      <c r="I117" s="1" t="s">
        <v>221</v>
      </c>
      <c r="J117" s="1" t="s">
        <v>215</v>
      </c>
      <c r="K117" s="1" t="s">
        <v>231</v>
      </c>
    </row>
    <row r="118" spans="1:11" x14ac:dyDescent="0.35">
      <c r="A118" s="1" t="s">
        <v>116</v>
      </c>
      <c r="B118" s="1" t="s">
        <v>117</v>
      </c>
      <c r="C118" s="1" t="s">
        <v>235</v>
      </c>
      <c r="D118" s="1" t="s">
        <v>211</v>
      </c>
      <c r="E118" s="1" t="s">
        <v>236</v>
      </c>
      <c r="F118" s="1" t="s">
        <v>349</v>
      </c>
      <c r="G118" s="1" t="s">
        <v>235</v>
      </c>
      <c r="H118" s="1" t="s">
        <v>238</v>
      </c>
      <c r="I118" s="1" t="s">
        <v>239</v>
      </c>
      <c r="J118" s="1" t="s">
        <v>215</v>
      </c>
      <c r="K118" s="1" t="s">
        <v>240</v>
      </c>
    </row>
    <row r="119" spans="1:11" x14ac:dyDescent="0.35">
      <c r="A119" s="1" t="s">
        <v>116</v>
      </c>
      <c r="B119" s="1" t="s">
        <v>117</v>
      </c>
      <c r="C119" s="1" t="s">
        <v>241</v>
      </c>
      <c r="D119" s="1" t="s">
        <v>211</v>
      </c>
      <c r="E119" s="1" t="s">
        <v>242</v>
      </c>
      <c r="F119" s="1" t="s">
        <v>350</v>
      </c>
      <c r="G119" s="1" t="s">
        <v>241</v>
      </c>
      <c r="H119" s="1" t="s">
        <v>229</v>
      </c>
      <c r="I119" s="1" t="s">
        <v>230</v>
      </c>
      <c r="J119" s="1" t="s">
        <v>215</v>
      </c>
      <c r="K119" s="1" t="s">
        <v>240</v>
      </c>
    </row>
    <row r="120" spans="1:11" x14ac:dyDescent="0.35">
      <c r="A120" s="1" t="s">
        <v>116</v>
      </c>
      <c r="B120" s="1" t="s">
        <v>117</v>
      </c>
      <c r="C120" s="1" t="s">
        <v>244</v>
      </c>
      <c r="D120" s="1" t="s">
        <v>211</v>
      </c>
      <c r="E120" s="1" t="s">
        <v>245</v>
      </c>
      <c r="F120" s="1" t="s">
        <v>246</v>
      </c>
      <c r="G120" s="1" t="s">
        <v>244</v>
      </c>
      <c r="H120" s="1" t="s">
        <v>116</v>
      </c>
      <c r="I120" s="1" t="s">
        <v>214</v>
      </c>
      <c r="J120" s="1" t="s">
        <v>247</v>
      </c>
      <c r="K120" s="1" t="s">
        <v>248</v>
      </c>
    </row>
    <row r="121" spans="1:11" x14ac:dyDescent="0.35">
      <c r="A121" s="1" t="s">
        <v>116</v>
      </c>
      <c r="B121" s="1" t="s">
        <v>117</v>
      </c>
      <c r="C121" s="1" t="s">
        <v>249</v>
      </c>
      <c r="D121" s="1" t="s">
        <v>211</v>
      </c>
      <c r="E121" s="1" t="s">
        <v>250</v>
      </c>
      <c r="F121" s="1" t="s">
        <v>351</v>
      </c>
      <c r="G121" s="1" t="s">
        <v>249</v>
      </c>
      <c r="H121" s="1" t="s">
        <v>252</v>
      </c>
      <c r="I121" s="1" t="s">
        <v>249</v>
      </c>
      <c r="J121" s="1" t="s">
        <v>215</v>
      </c>
      <c r="K121" s="1" t="s">
        <v>240</v>
      </c>
    </row>
    <row r="122" spans="1:11" x14ac:dyDescent="0.35">
      <c r="A122" s="1" t="s">
        <v>125</v>
      </c>
      <c r="B122" s="1" t="s">
        <v>126</v>
      </c>
      <c r="C122" s="1" t="s">
        <v>206</v>
      </c>
      <c r="D122" s="1" t="s">
        <v>206</v>
      </c>
      <c r="E122" s="1" t="s">
        <v>207</v>
      </c>
      <c r="F122" s="1" t="s">
        <v>352</v>
      </c>
      <c r="G122" s="1" t="s">
        <v>209</v>
      </c>
      <c r="H122" s="1" t="s">
        <v>209</v>
      </c>
      <c r="I122" s="1" t="s">
        <v>209</v>
      </c>
      <c r="J122" s="1" t="s">
        <v>209</v>
      </c>
      <c r="K122" s="1" t="s">
        <v>209</v>
      </c>
    </row>
    <row r="123" spans="1:11" x14ac:dyDescent="0.35">
      <c r="A123" s="1" t="s">
        <v>125</v>
      </c>
      <c r="B123" s="1" t="s">
        <v>126</v>
      </c>
      <c r="C123" s="1" t="s">
        <v>210</v>
      </c>
      <c r="D123" s="1" t="s">
        <v>211</v>
      </c>
      <c r="E123" s="1" t="s">
        <v>212</v>
      </c>
      <c r="F123" s="1" t="s">
        <v>353</v>
      </c>
      <c r="G123" s="1" t="s">
        <v>210</v>
      </c>
      <c r="H123" s="1" t="s">
        <v>125</v>
      </c>
      <c r="I123" s="1" t="s">
        <v>214</v>
      </c>
      <c r="J123" s="1" t="s">
        <v>215</v>
      </c>
      <c r="K123" s="1" t="s">
        <v>216</v>
      </c>
    </row>
    <row r="124" spans="1:11" x14ac:dyDescent="0.35">
      <c r="A124" s="1" t="s">
        <v>125</v>
      </c>
      <c r="B124" s="1" t="s">
        <v>126</v>
      </c>
      <c r="C124" s="1" t="s">
        <v>217</v>
      </c>
      <c r="D124" s="1" t="s">
        <v>211</v>
      </c>
      <c r="E124" s="1" t="s">
        <v>218</v>
      </c>
      <c r="F124" s="1" t="s">
        <v>354</v>
      </c>
      <c r="G124" s="1" t="s">
        <v>217</v>
      </c>
      <c r="H124" s="1" t="s">
        <v>220</v>
      </c>
      <c r="I124" s="1" t="s">
        <v>221</v>
      </c>
      <c r="J124" s="1" t="s">
        <v>215</v>
      </c>
      <c r="K124" s="1" t="s">
        <v>222</v>
      </c>
    </row>
    <row r="125" spans="1:11" x14ac:dyDescent="0.35">
      <c r="A125" s="1" t="s">
        <v>125</v>
      </c>
      <c r="B125" s="1" t="s">
        <v>126</v>
      </c>
      <c r="C125" s="1" t="s">
        <v>223</v>
      </c>
      <c r="D125" s="1" t="s">
        <v>211</v>
      </c>
      <c r="E125" s="1" t="s">
        <v>224</v>
      </c>
      <c r="F125" s="1" t="s">
        <v>355</v>
      </c>
      <c r="G125" s="1" t="s">
        <v>223</v>
      </c>
      <c r="H125" s="1" t="s">
        <v>220</v>
      </c>
      <c r="I125" s="1" t="s">
        <v>221</v>
      </c>
      <c r="J125" s="1" t="s">
        <v>215</v>
      </c>
      <c r="K125" s="1" t="s">
        <v>222</v>
      </c>
    </row>
    <row r="126" spans="1:11" x14ac:dyDescent="0.35">
      <c r="A126" s="1" t="s">
        <v>125</v>
      </c>
      <c r="B126" s="1" t="s">
        <v>126</v>
      </c>
      <c r="C126" s="1" t="s">
        <v>226</v>
      </c>
      <c r="D126" s="1" t="s">
        <v>211</v>
      </c>
      <c r="E126" s="1" t="s">
        <v>227</v>
      </c>
      <c r="F126" s="1" t="s">
        <v>356</v>
      </c>
      <c r="G126" s="1" t="s">
        <v>226</v>
      </c>
      <c r="H126" s="1" t="s">
        <v>229</v>
      </c>
      <c r="I126" s="1" t="s">
        <v>230</v>
      </c>
      <c r="J126" s="1" t="s">
        <v>215</v>
      </c>
      <c r="K126" s="1" t="s">
        <v>231</v>
      </c>
    </row>
    <row r="127" spans="1:11" x14ac:dyDescent="0.35">
      <c r="A127" s="1" t="s">
        <v>125</v>
      </c>
      <c r="B127" s="1" t="s">
        <v>126</v>
      </c>
      <c r="C127" s="1" t="s">
        <v>232</v>
      </c>
      <c r="D127" s="1" t="s">
        <v>211</v>
      </c>
      <c r="E127" s="1" t="s">
        <v>233</v>
      </c>
      <c r="F127" s="1" t="s">
        <v>357</v>
      </c>
      <c r="G127" s="1" t="s">
        <v>232</v>
      </c>
      <c r="H127" s="1" t="s">
        <v>220</v>
      </c>
      <c r="I127" s="1" t="s">
        <v>221</v>
      </c>
      <c r="J127" s="1" t="s">
        <v>215</v>
      </c>
      <c r="K127" s="1" t="s">
        <v>231</v>
      </c>
    </row>
    <row r="128" spans="1:11" x14ac:dyDescent="0.35">
      <c r="A128" s="1" t="s">
        <v>125</v>
      </c>
      <c r="B128" s="1" t="s">
        <v>126</v>
      </c>
      <c r="C128" s="1" t="s">
        <v>235</v>
      </c>
      <c r="D128" s="1" t="s">
        <v>211</v>
      </c>
      <c r="E128" s="1" t="s">
        <v>236</v>
      </c>
      <c r="F128" s="1" t="s">
        <v>358</v>
      </c>
      <c r="G128" s="1" t="s">
        <v>235</v>
      </c>
      <c r="H128" s="1" t="s">
        <v>238</v>
      </c>
      <c r="I128" s="1" t="s">
        <v>239</v>
      </c>
      <c r="J128" s="1" t="s">
        <v>215</v>
      </c>
      <c r="K128" s="1" t="s">
        <v>240</v>
      </c>
    </row>
    <row r="129" spans="1:11" x14ac:dyDescent="0.35">
      <c r="A129" s="1" t="s">
        <v>125</v>
      </c>
      <c r="B129" s="1" t="s">
        <v>126</v>
      </c>
      <c r="C129" s="1" t="s">
        <v>241</v>
      </c>
      <c r="D129" s="1" t="s">
        <v>211</v>
      </c>
      <c r="E129" s="1" t="s">
        <v>242</v>
      </c>
      <c r="F129" s="1" t="s">
        <v>359</v>
      </c>
      <c r="G129" s="1" t="s">
        <v>241</v>
      </c>
      <c r="H129" s="1" t="s">
        <v>229</v>
      </c>
      <c r="I129" s="1" t="s">
        <v>230</v>
      </c>
      <c r="J129" s="1" t="s">
        <v>215</v>
      </c>
      <c r="K129" s="1" t="s">
        <v>240</v>
      </c>
    </row>
    <row r="130" spans="1:11" x14ac:dyDescent="0.35">
      <c r="A130" s="1" t="s">
        <v>125</v>
      </c>
      <c r="B130" s="1" t="s">
        <v>126</v>
      </c>
      <c r="C130" s="1" t="s">
        <v>244</v>
      </c>
      <c r="D130" s="1" t="s">
        <v>211</v>
      </c>
      <c r="E130" s="1" t="s">
        <v>245</v>
      </c>
      <c r="F130" s="1" t="s">
        <v>246</v>
      </c>
      <c r="G130" s="1" t="s">
        <v>244</v>
      </c>
      <c r="H130" s="1" t="s">
        <v>125</v>
      </c>
      <c r="I130" s="1" t="s">
        <v>214</v>
      </c>
      <c r="J130" s="1" t="s">
        <v>247</v>
      </c>
      <c r="K130" s="1" t="s">
        <v>248</v>
      </c>
    </row>
    <row r="131" spans="1:11" x14ac:dyDescent="0.35">
      <c r="A131" s="1" t="s">
        <v>125</v>
      </c>
      <c r="B131" s="1" t="s">
        <v>126</v>
      </c>
      <c r="C131" s="1" t="s">
        <v>249</v>
      </c>
      <c r="D131" s="1" t="s">
        <v>211</v>
      </c>
      <c r="E131" s="1" t="s">
        <v>250</v>
      </c>
      <c r="F131" s="1" t="s">
        <v>360</v>
      </c>
      <c r="G131" s="1" t="s">
        <v>249</v>
      </c>
      <c r="H131" s="1" t="s">
        <v>252</v>
      </c>
      <c r="I131" s="1" t="s">
        <v>249</v>
      </c>
      <c r="J131" s="1" t="s">
        <v>215</v>
      </c>
      <c r="K131" s="1" t="s">
        <v>240</v>
      </c>
    </row>
    <row r="132" spans="1:11" x14ac:dyDescent="0.35">
      <c r="A132" s="1" t="s">
        <v>134</v>
      </c>
      <c r="B132" s="1" t="s">
        <v>135</v>
      </c>
      <c r="C132" s="1" t="s">
        <v>206</v>
      </c>
      <c r="D132" s="1" t="s">
        <v>206</v>
      </c>
      <c r="E132" s="1" t="s">
        <v>207</v>
      </c>
      <c r="F132" s="1" t="s">
        <v>361</v>
      </c>
      <c r="G132" s="1" t="s">
        <v>209</v>
      </c>
      <c r="H132" s="1" t="s">
        <v>209</v>
      </c>
      <c r="I132" s="1" t="s">
        <v>209</v>
      </c>
      <c r="J132" s="1" t="s">
        <v>209</v>
      </c>
      <c r="K132" s="1" t="s">
        <v>209</v>
      </c>
    </row>
    <row r="133" spans="1:11" x14ac:dyDescent="0.35">
      <c r="A133" s="1" t="s">
        <v>134</v>
      </c>
      <c r="B133" s="1" t="s">
        <v>135</v>
      </c>
      <c r="C133" s="1" t="s">
        <v>210</v>
      </c>
      <c r="D133" s="1" t="s">
        <v>211</v>
      </c>
      <c r="E133" s="1" t="s">
        <v>212</v>
      </c>
      <c r="F133" s="1" t="s">
        <v>362</v>
      </c>
      <c r="G133" s="1" t="s">
        <v>210</v>
      </c>
      <c r="H133" s="1" t="s">
        <v>134</v>
      </c>
      <c r="I133" s="1" t="s">
        <v>214</v>
      </c>
      <c r="J133" s="1" t="s">
        <v>215</v>
      </c>
      <c r="K133" s="1" t="s">
        <v>216</v>
      </c>
    </row>
    <row r="134" spans="1:11" x14ac:dyDescent="0.35">
      <c r="A134" s="1" t="s">
        <v>134</v>
      </c>
      <c r="B134" s="1" t="s">
        <v>135</v>
      </c>
      <c r="C134" s="1" t="s">
        <v>217</v>
      </c>
      <c r="D134" s="1" t="s">
        <v>211</v>
      </c>
      <c r="E134" s="1" t="s">
        <v>218</v>
      </c>
      <c r="F134" s="1" t="s">
        <v>363</v>
      </c>
      <c r="G134" s="1" t="s">
        <v>217</v>
      </c>
      <c r="H134" s="1" t="s">
        <v>220</v>
      </c>
      <c r="I134" s="1" t="s">
        <v>221</v>
      </c>
      <c r="J134" s="1" t="s">
        <v>215</v>
      </c>
      <c r="K134" s="1" t="s">
        <v>222</v>
      </c>
    </row>
    <row r="135" spans="1:11" x14ac:dyDescent="0.35">
      <c r="A135" s="1" t="s">
        <v>134</v>
      </c>
      <c r="B135" s="1" t="s">
        <v>135</v>
      </c>
      <c r="C135" s="1" t="s">
        <v>223</v>
      </c>
      <c r="D135" s="1" t="s">
        <v>211</v>
      </c>
      <c r="E135" s="1" t="s">
        <v>224</v>
      </c>
      <c r="F135" s="1" t="s">
        <v>364</v>
      </c>
      <c r="G135" s="1" t="s">
        <v>223</v>
      </c>
      <c r="H135" s="1" t="s">
        <v>220</v>
      </c>
      <c r="I135" s="1" t="s">
        <v>221</v>
      </c>
      <c r="J135" s="1" t="s">
        <v>215</v>
      </c>
      <c r="K135" s="1" t="s">
        <v>222</v>
      </c>
    </row>
    <row r="136" spans="1:11" x14ac:dyDescent="0.35">
      <c r="A136" s="1" t="s">
        <v>134</v>
      </c>
      <c r="B136" s="1" t="s">
        <v>135</v>
      </c>
      <c r="C136" s="1" t="s">
        <v>226</v>
      </c>
      <c r="D136" s="1" t="s">
        <v>211</v>
      </c>
      <c r="E136" s="1" t="s">
        <v>227</v>
      </c>
      <c r="F136" s="1" t="s">
        <v>365</v>
      </c>
      <c r="G136" s="1" t="s">
        <v>226</v>
      </c>
      <c r="H136" s="1" t="s">
        <v>229</v>
      </c>
      <c r="I136" s="1" t="s">
        <v>230</v>
      </c>
      <c r="J136" s="1" t="s">
        <v>215</v>
      </c>
      <c r="K136" s="1" t="s">
        <v>231</v>
      </c>
    </row>
    <row r="137" spans="1:11" x14ac:dyDescent="0.35">
      <c r="A137" s="1" t="s">
        <v>134</v>
      </c>
      <c r="B137" s="1" t="s">
        <v>135</v>
      </c>
      <c r="C137" s="1" t="s">
        <v>232</v>
      </c>
      <c r="D137" s="1" t="s">
        <v>211</v>
      </c>
      <c r="E137" s="1" t="s">
        <v>233</v>
      </c>
      <c r="F137" s="1" t="s">
        <v>366</v>
      </c>
      <c r="G137" s="1" t="s">
        <v>232</v>
      </c>
      <c r="H137" s="1" t="s">
        <v>220</v>
      </c>
      <c r="I137" s="1" t="s">
        <v>221</v>
      </c>
      <c r="J137" s="1" t="s">
        <v>215</v>
      </c>
      <c r="K137" s="1" t="s">
        <v>231</v>
      </c>
    </row>
    <row r="138" spans="1:11" x14ac:dyDescent="0.35">
      <c r="A138" s="1" t="s">
        <v>134</v>
      </c>
      <c r="B138" s="1" t="s">
        <v>135</v>
      </c>
      <c r="C138" s="1" t="s">
        <v>235</v>
      </c>
      <c r="D138" s="1" t="s">
        <v>211</v>
      </c>
      <c r="E138" s="1" t="s">
        <v>236</v>
      </c>
      <c r="F138" s="1" t="s">
        <v>367</v>
      </c>
      <c r="G138" s="1" t="s">
        <v>235</v>
      </c>
      <c r="H138" s="1" t="s">
        <v>238</v>
      </c>
      <c r="I138" s="1" t="s">
        <v>239</v>
      </c>
      <c r="J138" s="1" t="s">
        <v>215</v>
      </c>
      <c r="K138" s="1" t="s">
        <v>240</v>
      </c>
    </row>
    <row r="139" spans="1:11" x14ac:dyDescent="0.35">
      <c r="A139" s="1" t="s">
        <v>134</v>
      </c>
      <c r="B139" s="1" t="s">
        <v>135</v>
      </c>
      <c r="C139" s="1" t="s">
        <v>241</v>
      </c>
      <c r="D139" s="1" t="s">
        <v>211</v>
      </c>
      <c r="E139" s="1" t="s">
        <v>242</v>
      </c>
      <c r="F139" s="1" t="s">
        <v>368</v>
      </c>
      <c r="G139" s="1" t="s">
        <v>241</v>
      </c>
      <c r="H139" s="1" t="s">
        <v>229</v>
      </c>
      <c r="I139" s="1" t="s">
        <v>230</v>
      </c>
      <c r="J139" s="1" t="s">
        <v>215</v>
      </c>
      <c r="K139" s="1" t="s">
        <v>240</v>
      </c>
    </row>
    <row r="140" spans="1:11" x14ac:dyDescent="0.35">
      <c r="A140" s="1" t="s">
        <v>134</v>
      </c>
      <c r="B140" s="1" t="s">
        <v>135</v>
      </c>
      <c r="C140" s="1" t="s">
        <v>244</v>
      </c>
      <c r="D140" s="1" t="s">
        <v>211</v>
      </c>
      <c r="E140" s="1" t="s">
        <v>245</v>
      </c>
      <c r="F140" s="1" t="s">
        <v>246</v>
      </c>
      <c r="G140" s="1" t="s">
        <v>244</v>
      </c>
      <c r="H140" s="1" t="s">
        <v>134</v>
      </c>
      <c r="I140" s="1" t="s">
        <v>214</v>
      </c>
      <c r="J140" s="1" t="s">
        <v>247</v>
      </c>
      <c r="K140" s="1" t="s">
        <v>248</v>
      </c>
    </row>
    <row r="141" spans="1:11" x14ac:dyDescent="0.35">
      <c r="A141" s="1" t="s">
        <v>134</v>
      </c>
      <c r="B141" s="1" t="s">
        <v>135</v>
      </c>
      <c r="C141" s="1" t="s">
        <v>249</v>
      </c>
      <c r="D141" s="1" t="s">
        <v>211</v>
      </c>
      <c r="E141" s="1" t="s">
        <v>250</v>
      </c>
      <c r="F141" s="1" t="s">
        <v>369</v>
      </c>
      <c r="G141" s="1" t="s">
        <v>249</v>
      </c>
      <c r="H141" s="1" t="s">
        <v>252</v>
      </c>
      <c r="I141" s="1" t="s">
        <v>249</v>
      </c>
      <c r="J141" s="1" t="s">
        <v>215</v>
      </c>
      <c r="K141" s="1" t="s">
        <v>240</v>
      </c>
    </row>
    <row r="142" spans="1:11" x14ac:dyDescent="0.35">
      <c r="A142" s="1" t="s">
        <v>143</v>
      </c>
      <c r="B142" s="1" t="s">
        <v>144</v>
      </c>
      <c r="C142" s="1" t="s">
        <v>206</v>
      </c>
      <c r="D142" s="1" t="s">
        <v>206</v>
      </c>
      <c r="E142" s="1" t="s">
        <v>207</v>
      </c>
      <c r="F142" s="1" t="s">
        <v>370</v>
      </c>
      <c r="G142" s="1" t="s">
        <v>209</v>
      </c>
      <c r="H142" s="1" t="s">
        <v>209</v>
      </c>
      <c r="I142" s="1" t="s">
        <v>209</v>
      </c>
      <c r="J142" s="1" t="s">
        <v>209</v>
      </c>
      <c r="K142" s="1" t="s">
        <v>209</v>
      </c>
    </row>
    <row r="143" spans="1:11" x14ac:dyDescent="0.35">
      <c r="A143" s="1" t="s">
        <v>143</v>
      </c>
      <c r="B143" s="1" t="s">
        <v>144</v>
      </c>
      <c r="C143" s="1" t="s">
        <v>210</v>
      </c>
      <c r="D143" s="1" t="s">
        <v>211</v>
      </c>
      <c r="E143" s="1" t="s">
        <v>212</v>
      </c>
      <c r="F143" s="1" t="s">
        <v>371</v>
      </c>
      <c r="G143" s="1" t="s">
        <v>210</v>
      </c>
      <c r="H143" s="1" t="s">
        <v>143</v>
      </c>
      <c r="I143" s="1" t="s">
        <v>214</v>
      </c>
      <c r="J143" s="1" t="s">
        <v>215</v>
      </c>
      <c r="K143" s="1" t="s">
        <v>216</v>
      </c>
    </row>
    <row r="144" spans="1:11" x14ac:dyDescent="0.35">
      <c r="A144" s="1" t="s">
        <v>143</v>
      </c>
      <c r="B144" s="1" t="s">
        <v>144</v>
      </c>
      <c r="C144" s="1" t="s">
        <v>217</v>
      </c>
      <c r="D144" s="1" t="s">
        <v>211</v>
      </c>
      <c r="E144" s="1" t="s">
        <v>218</v>
      </c>
      <c r="F144" s="1" t="s">
        <v>372</v>
      </c>
      <c r="G144" s="1" t="s">
        <v>217</v>
      </c>
      <c r="H144" s="1" t="s">
        <v>220</v>
      </c>
      <c r="I144" s="1" t="s">
        <v>221</v>
      </c>
      <c r="J144" s="1" t="s">
        <v>215</v>
      </c>
      <c r="K144" s="1" t="s">
        <v>222</v>
      </c>
    </row>
    <row r="145" spans="1:11" x14ac:dyDescent="0.35">
      <c r="A145" s="1" t="s">
        <v>143</v>
      </c>
      <c r="B145" s="1" t="s">
        <v>144</v>
      </c>
      <c r="C145" s="1" t="s">
        <v>223</v>
      </c>
      <c r="D145" s="1" t="s">
        <v>211</v>
      </c>
      <c r="E145" s="1" t="s">
        <v>224</v>
      </c>
      <c r="F145" s="1" t="s">
        <v>373</v>
      </c>
      <c r="G145" s="1" t="s">
        <v>223</v>
      </c>
      <c r="H145" s="1" t="s">
        <v>220</v>
      </c>
      <c r="I145" s="1" t="s">
        <v>221</v>
      </c>
      <c r="J145" s="1" t="s">
        <v>215</v>
      </c>
      <c r="K145" s="1" t="s">
        <v>222</v>
      </c>
    </row>
    <row r="146" spans="1:11" x14ac:dyDescent="0.35">
      <c r="A146" s="1" t="s">
        <v>143</v>
      </c>
      <c r="B146" s="1" t="s">
        <v>144</v>
      </c>
      <c r="C146" s="1" t="s">
        <v>226</v>
      </c>
      <c r="D146" s="1" t="s">
        <v>211</v>
      </c>
      <c r="E146" s="1" t="s">
        <v>227</v>
      </c>
      <c r="F146" s="1" t="s">
        <v>374</v>
      </c>
      <c r="G146" s="1" t="s">
        <v>226</v>
      </c>
      <c r="H146" s="1" t="s">
        <v>229</v>
      </c>
      <c r="I146" s="1" t="s">
        <v>230</v>
      </c>
      <c r="J146" s="1" t="s">
        <v>215</v>
      </c>
      <c r="K146" s="1" t="s">
        <v>231</v>
      </c>
    </row>
    <row r="147" spans="1:11" x14ac:dyDescent="0.35">
      <c r="A147" s="1" t="s">
        <v>143</v>
      </c>
      <c r="B147" s="1" t="s">
        <v>144</v>
      </c>
      <c r="C147" s="1" t="s">
        <v>232</v>
      </c>
      <c r="D147" s="1" t="s">
        <v>211</v>
      </c>
      <c r="E147" s="1" t="s">
        <v>233</v>
      </c>
      <c r="F147" s="1" t="s">
        <v>375</v>
      </c>
      <c r="G147" s="1" t="s">
        <v>232</v>
      </c>
      <c r="H147" s="1" t="s">
        <v>220</v>
      </c>
      <c r="I147" s="1" t="s">
        <v>221</v>
      </c>
      <c r="J147" s="1" t="s">
        <v>215</v>
      </c>
      <c r="K147" s="1" t="s">
        <v>231</v>
      </c>
    </row>
    <row r="148" spans="1:11" x14ac:dyDescent="0.35">
      <c r="A148" s="1" t="s">
        <v>143</v>
      </c>
      <c r="B148" s="1" t="s">
        <v>144</v>
      </c>
      <c r="C148" s="1" t="s">
        <v>235</v>
      </c>
      <c r="D148" s="1" t="s">
        <v>211</v>
      </c>
      <c r="E148" s="1" t="s">
        <v>236</v>
      </c>
      <c r="F148" s="1" t="s">
        <v>376</v>
      </c>
      <c r="G148" s="1" t="s">
        <v>235</v>
      </c>
      <c r="H148" s="1" t="s">
        <v>238</v>
      </c>
      <c r="I148" s="1" t="s">
        <v>239</v>
      </c>
      <c r="J148" s="1" t="s">
        <v>215</v>
      </c>
      <c r="K148" s="1" t="s">
        <v>240</v>
      </c>
    </row>
    <row r="149" spans="1:11" x14ac:dyDescent="0.35">
      <c r="A149" s="1" t="s">
        <v>143</v>
      </c>
      <c r="B149" s="1" t="s">
        <v>144</v>
      </c>
      <c r="C149" s="1" t="s">
        <v>241</v>
      </c>
      <c r="D149" s="1" t="s">
        <v>211</v>
      </c>
      <c r="E149" s="1" t="s">
        <v>242</v>
      </c>
      <c r="F149" s="1" t="s">
        <v>377</v>
      </c>
      <c r="G149" s="1" t="s">
        <v>241</v>
      </c>
      <c r="H149" s="1" t="s">
        <v>229</v>
      </c>
      <c r="I149" s="1" t="s">
        <v>230</v>
      </c>
      <c r="J149" s="1" t="s">
        <v>215</v>
      </c>
      <c r="K149" s="1" t="s">
        <v>240</v>
      </c>
    </row>
    <row r="150" spans="1:11" x14ac:dyDescent="0.35">
      <c r="A150" s="1" t="s">
        <v>143</v>
      </c>
      <c r="B150" s="1" t="s">
        <v>144</v>
      </c>
      <c r="C150" s="1" t="s">
        <v>244</v>
      </c>
      <c r="D150" s="1" t="s">
        <v>211</v>
      </c>
      <c r="E150" s="1" t="s">
        <v>245</v>
      </c>
      <c r="F150" s="1" t="s">
        <v>246</v>
      </c>
      <c r="G150" s="1" t="s">
        <v>244</v>
      </c>
      <c r="H150" s="1" t="s">
        <v>143</v>
      </c>
      <c r="I150" s="1" t="s">
        <v>214</v>
      </c>
      <c r="J150" s="1" t="s">
        <v>247</v>
      </c>
      <c r="K150" s="1" t="s">
        <v>248</v>
      </c>
    </row>
    <row r="151" spans="1:11" x14ac:dyDescent="0.35">
      <c r="A151" s="1" t="s">
        <v>143</v>
      </c>
      <c r="B151" s="1" t="s">
        <v>144</v>
      </c>
      <c r="C151" s="1" t="s">
        <v>249</v>
      </c>
      <c r="D151" s="1" t="s">
        <v>211</v>
      </c>
      <c r="E151" s="1" t="s">
        <v>250</v>
      </c>
      <c r="F151" s="1" t="s">
        <v>378</v>
      </c>
      <c r="G151" s="1" t="s">
        <v>249</v>
      </c>
      <c r="H151" s="1" t="s">
        <v>252</v>
      </c>
      <c r="I151" s="1" t="s">
        <v>249</v>
      </c>
      <c r="J151" s="1" t="s">
        <v>215</v>
      </c>
      <c r="K151" s="1" t="s">
        <v>240</v>
      </c>
    </row>
    <row r="152" spans="1:11" x14ac:dyDescent="0.35">
      <c r="A152" s="1" t="s">
        <v>152</v>
      </c>
      <c r="B152" s="1" t="s">
        <v>153</v>
      </c>
      <c r="C152" s="1" t="s">
        <v>206</v>
      </c>
      <c r="D152" s="1" t="s">
        <v>206</v>
      </c>
      <c r="E152" s="1" t="s">
        <v>207</v>
      </c>
      <c r="F152" s="1" t="s">
        <v>379</v>
      </c>
      <c r="G152" s="1" t="s">
        <v>209</v>
      </c>
      <c r="H152" s="1" t="s">
        <v>209</v>
      </c>
      <c r="I152" s="1" t="s">
        <v>209</v>
      </c>
      <c r="J152" s="1" t="s">
        <v>209</v>
      </c>
      <c r="K152" s="1" t="s">
        <v>209</v>
      </c>
    </row>
    <row r="153" spans="1:11" x14ac:dyDescent="0.35">
      <c r="A153" s="1" t="s">
        <v>152</v>
      </c>
      <c r="B153" s="1" t="s">
        <v>153</v>
      </c>
      <c r="C153" s="1" t="s">
        <v>210</v>
      </c>
      <c r="D153" s="1" t="s">
        <v>211</v>
      </c>
      <c r="E153" s="1" t="s">
        <v>212</v>
      </c>
      <c r="F153" s="1" t="s">
        <v>380</v>
      </c>
      <c r="G153" s="1" t="s">
        <v>210</v>
      </c>
      <c r="H153" s="1" t="s">
        <v>152</v>
      </c>
      <c r="I153" s="1" t="s">
        <v>214</v>
      </c>
      <c r="J153" s="1" t="s">
        <v>215</v>
      </c>
      <c r="K153" s="1" t="s">
        <v>216</v>
      </c>
    </row>
    <row r="154" spans="1:11" x14ac:dyDescent="0.35">
      <c r="A154" s="1" t="s">
        <v>152</v>
      </c>
      <c r="B154" s="1" t="s">
        <v>153</v>
      </c>
      <c r="C154" s="1" t="s">
        <v>217</v>
      </c>
      <c r="D154" s="1" t="s">
        <v>211</v>
      </c>
      <c r="E154" s="1" t="s">
        <v>218</v>
      </c>
      <c r="F154" s="1" t="s">
        <v>381</v>
      </c>
      <c r="G154" s="1" t="s">
        <v>217</v>
      </c>
      <c r="H154" s="1" t="s">
        <v>220</v>
      </c>
      <c r="I154" s="1" t="s">
        <v>221</v>
      </c>
      <c r="J154" s="1" t="s">
        <v>215</v>
      </c>
      <c r="K154" s="1" t="s">
        <v>222</v>
      </c>
    </row>
    <row r="155" spans="1:11" x14ac:dyDescent="0.35">
      <c r="A155" s="1" t="s">
        <v>152</v>
      </c>
      <c r="B155" s="1" t="s">
        <v>153</v>
      </c>
      <c r="C155" s="1" t="s">
        <v>223</v>
      </c>
      <c r="D155" s="1" t="s">
        <v>211</v>
      </c>
      <c r="E155" s="1" t="s">
        <v>224</v>
      </c>
      <c r="F155" s="1" t="s">
        <v>382</v>
      </c>
      <c r="G155" s="1" t="s">
        <v>223</v>
      </c>
      <c r="H155" s="1" t="s">
        <v>220</v>
      </c>
      <c r="I155" s="1" t="s">
        <v>221</v>
      </c>
      <c r="J155" s="1" t="s">
        <v>215</v>
      </c>
      <c r="K155" s="1" t="s">
        <v>222</v>
      </c>
    </row>
    <row r="156" spans="1:11" x14ac:dyDescent="0.35">
      <c r="A156" s="1" t="s">
        <v>152</v>
      </c>
      <c r="B156" s="1" t="s">
        <v>153</v>
      </c>
      <c r="C156" s="1" t="s">
        <v>226</v>
      </c>
      <c r="D156" s="1" t="s">
        <v>211</v>
      </c>
      <c r="E156" s="1" t="s">
        <v>227</v>
      </c>
      <c r="F156" s="1" t="s">
        <v>383</v>
      </c>
      <c r="G156" s="1" t="s">
        <v>226</v>
      </c>
      <c r="H156" s="1" t="s">
        <v>229</v>
      </c>
      <c r="I156" s="1" t="s">
        <v>230</v>
      </c>
      <c r="J156" s="1" t="s">
        <v>215</v>
      </c>
      <c r="K156" s="1" t="s">
        <v>231</v>
      </c>
    </row>
    <row r="157" spans="1:11" x14ac:dyDescent="0.35">
      <c r="A157" s="1" t="s">
        <v>152</v>
      </c>
      <c r="B157" s="1" t="s">
        <v>153</v>
      </c>
      <c r="C157" s="1" t="s">
        <v>232</v>
      </c>
      <c r="D157" s="1" t="s">
        <v>211</v>
      </c>
      <c r="E157" s="1" t="s">
        <v>233</v>
      </c>
      <c r="F157" s="1" t="s">
        <v>384</v>
      </c>
      <c r="G157" s="1" t="s">
        <v>232</v>
      </c>
      <c r="H157" s="1" t="s">
        <v>220</v>
      </c>
      <c r="I157" s="1" t="s">
        <v>221</v>
      </c>
      <c r="J157" s="1" t="s">
        <v>215</v>
      </c>
      <c r="K157" s="1" t="s">
        <v>231</v>
      </c>
    </row>
    <row r="158" spans="1:11" x14ac:dyDescent="0.35">
      <c r="A158" s="1" t="s">
        <v>152</v>
      </c>
      <c r="B158" s="1" t="s">
        <v>153</v>
      </c>
      <c r="C158" s="1" t="s">
        <v>235</v>
      </c>
      <c r="D158" s="1" t="s">
        <v>211</v>
      </c>
      <c r="E158" s="1" t="s">
        <v>236</v>
      </c>
      <c r="F158" s="1" t="s">
        <v>385</v>
      </c>
      <c r="G158" s="1" t="s">
        <v>235</v>
      </c>
      <c r="H158" s="1" t="s">
        <v>238</v>
      </c>
      <c r="I158" s="1" t="s">
        <v>239</v>
      </c>
      <c r="J158" s="1" t="s">
        <v>215</v>
      </c>
      <c r="K158" s="1" t="s">
        <v>240</v>
      </c>
    </row>
    <row r="159" spans="1:11" x14ac:dyDescent="0.35">
      <c r="A159" s="1" t="s">
        <v>152</v>
      </c>
      <c r="B159" s="1" t="s">
        <v>153</v>
      </c>
      <c r="C159" s="1" t="s">
        <v>241</v>
      </c>
      <c r="D159" s="1" t="s">
        <v>211</v>
      </c>
      <c r="E159" s="1" t="s">
        <v>242</v>
      </c>
      <c r="F159" s="1" t="s">
        <v>386</v>
      </c>
      <c r="G159" s="1" t="s">
        <v>241</v>
      </c>
      <c r="H159" s="1" t="s">
        <v>229</v>
      </c>
      <c r="I159" s="1" t="s">
        <v>230</v>
      </c>
      <c r="J159" s="1" t="s">
        <v>215</v>
      </c>
      <c r="K159" s="1" t="s">
        <v>240</v>
      </c>
    </row>
    <row r="160" spans="1:11" x14ac:dyDescent="0.35">
      <c r="A160" s="1" t="s">
        <v>152</v>
      </c>
      <c r="B160" s="1" t="s">
        <v>153</v>
      </c>
      <c r="C160" s="1" t="s">
        <v>244</v>
      </c>
      <c r="D160" s="1" t="s">
        <v>211</v>
      </c>
      <c r="E160" s="1" t="s">
        <v>245</v>
      </c>
      <c r="F160" s="1" t="s">
        <v>246</v>
      </c>
      <c r="G160" s="1" t="s">
        <v>244</v>
      </c>
      <c r="H160" s="1" t="s">
        <v>152</v>
      </c>
      <c r="I160" s="1" t="s">
        <v>214</v>
      </c>
      <c r="J160" s="1" t="s">
        <v>247</v>
      </c>
      <c r="K160" s="1" t="s">
        <v>248</v>
      </c>
    </row>
    <row r="161" spans="1:11" x14ac:dyDescent="0.35">
      <c r="A161" s="1" t="s">
        <v>152</v>
      </c>
      <c r="B161" s="1" t="s">
        <v>153</v>
      </c>
      <c r="C161" s="1" t="s">
        <v>249</v>
      </c>
      <c r="D161" s="1" t="s">
        <v>211</v>
      </c>
      <c r="E161" s="1" t="s">
        <v>250</v>
      </c>
      <c r="F161" s="1" t="s">
        <v>387</v>
      </c>
      <c r="G161" s="1" t="s">
        <v>249</v>
      </c>
      <c r="H161" s="1" t="s">
        <v>252</v>
      </c>
      <c r="I161" s="1" t="s">
        <v>249</v>
      </c>
      <c r="J161" s="1" t="s">
        <v>215</v>
      </c>
      <c r="K161" s="1" t="s">
        <v>240</v>
      </c>
    </row>
    <row r="162" spans="1:11" x14ac:dyDescent="0.35">
      <c r="A162" s="1" t="s">
        <v>161</v>
      </c>
      <c r="B162" s="1" t="s">
        <v>162</v>
      </c>
      <c r="C162" s="1" t="s">
        <v>206</v>
      </c>
      <c r="D162" s="1" t="s">
        <v>206</v>
      </c>
      <c r="E162" s="1" t="s">
        <v>207</v>
      </c>
      <c r="F162" s="1" t="s">
        <v>388</v>
      </c>
      <c r="G162" s="1" t="s">
        <v>209</v>
      </c>
      <c r="H162" s="1" t="s">
        <v>209</v>
      </c>
      <c r="I162" s="1" t="s">
        <v>209</v>
      </c>
      <c r="J162" s="1" t="s">
        <v>209</v>
      </c>
      <c r="K162" s="1" t="s">
        <v>209</v>
      </c>
    </row>
    <row r="163" spans="1:11" x14ac:dyDescent="0.35">
      <c r="A163" s="1" t="s">
        <v>161</v>
      </c>
      <c r="B163" s="1" t="s">
        <v>162</v>
      </c>
      <c r="C163" s="1" t="s">
        <v>210</v>
      </c>
      <c r="D163" s="1" t="s">
        <v>211</v>
      </c>
      <c r="E163" s="1" t="s">
        <v>212</v>
      </c>
      <c r="F163" s="1" t="s">
        <v>389</v>
      </c>
      <c r="G163" s="1" t="s">
        <v>210</v>
      </c>
      <c r="H163" s="1" t="s">
        <v>161</v>
      </c>
      <c r="I163" s="1" t="s">
        <v>214</v>
      </c>
      <c r="J163" s="1" t="s">
        <v>215</v>
      </c>
      <c r="K163" s="1" t="s">
        <v>216</v>
      </c>
    </row>
    <row r="164" spans="1:11" x14ac:dyDescent="0.35">
      <c r="A164" s="1" t="s">
        <v>161</v>
      </c>
      <c r="B164" s="1" t="s">
        <v>162</v>
      </c>
      <c r="C164" s="1" t="s">
        <v>217</v>
      </c>
      <c r="D164" s="1" t="s">
        <v>211</v>
      </c>
      <c r="E164" s="1" t="s">
        <v>218</v>
      </c>
      <c r="F164" s="1" t="s">
        <v>390</v>
      </c>
      <c r="G164" s="1" t="s">
        <v>217</v>
      </c>
      <c r="H164" s="1" t="s">
        <v>220</v>
      </c>
      <c r="I164" s="1" t="s">
        <v>221</v>
      </c>
      <c r="J164" s="1" t="s">
        <v>215</v>
      </c>
      <c r="K164" s="1" t="s">
        <v>222</v>
      </c>
    </row>
    <row r="165" spans="1:11" x14ac:dyDescent="0.35">
      <c r="A165" s="1" t="s">
        <v>161</v>
      </c>
      <c r="B165" s="1" t="s">
        <v>162</v>
      </c>
      <c r="C165" s="1" t="s">
        <v>223</v>
      </c>
      <c r="D165" s="1" t="s">
        <v>211</v>
      </c>
      <c r="E165" s="1" t="s">
        <v>224</v>
      </c>
      <c r="F165" s="1" t="s">
        <v>391</v>
      </c>
      <c r="G165" s="1" t="s">
        <v>223</v>
      </c>
      <c r="H165" s="1" t="s">
        <v>220</v>
      </c>
      <c r="I165" s="1" t="s">
        <v>221</v>
      </c>
      <c r="J165" s="1" t="s">
        <v>215</v>
      </c>
      <c r="K165" s="1" t="s">
        <v>222</v>
      </c>
    </row>
    <row r="166" spans="1:11" x14ac:dyDescent="0.35">
      <c r="A166" s="1" t="s">
        <v>161</v>
      </c>
      <c r="B166" s="1" t="s">
        <v>162</v>
      </c>
      <c r="C166" s="1" t="s">
        <v>226</v>
      </c>
      <c r="D166" s="1" t="s">
        <v>211</v>
      </c>
      <c r="E166" s="1" t="s">
        <v>227</v>
      </c>
      <c r="F166" s="1" t="s">
        <v>392</v>
      </c>
      <c r="G166" s="1" t="s">
        <v>226</v>
      </c>
      <c r="H166" s="1" t="s">
        <v>229</v>
      </c>
      <c r="I166" s="1" t="s">
        <v>230</v>
      </c>
      <c r="J166" s="1" t="s">
        <v>215</v>
      </c>
      <c r="K166" s="1" t="s">
        <v>231</v>
      </c>
    </row>
    <row r="167" spans="1:11" x14ac:dyDescent="0.35">
      <c r="A167" s="1" t="s">
        <v>161</v>
      </c>
      <c r="B167" s="1" t="s">
        <v>162</v>
      </c>
      <c r="C167" s="1" t="s">
        <v>232</v>
      </c>
      <c r="D167" s="1" t="s">
        <v>211</v>
      </c>
      <c r="E167" s="1" t="s">
        <v>233</v>
      </c>
      <c r="F167" s="1" t="s">
        <v>393</v>
      </c>
      <c r="G167" s="1" t="s">
        <v>232</v>
      </c>
      <c r="H167" s="1" t="s">
        <v>220</v>
      </c>
      <c r="I167" s="1" t="s">
        <v>221</v>
      </c>
      <c r="J167" s="1" t="s">
        <v>215</v>
      </c>
      <c r="K167" s="1" t="s">
        <v>231</v>
      </c>
    </row>
    <row r="168" spans="1:11" x14ac:dyDescent="0.35">
      <c r="A168" s="1" t="s">
        <v>161</v>
      </c>
      <c r="B168" s="1" t="s">
        <v>162</v>
      </c>
      <c r="C168" s="1" t="s">
        <v>235</v>
      </c>
      <c r="D168" s="1" t="s">
        <v>211</v>
      </c>
      <c r="E168" s="1" t="s">
        <v>236</v>
      </c>
      <c r="F168" s="1" t="s">
        <v>394</v>
      </c>
      <c r="G168" s="1" t="s">
        <v>235</v>
      </c>
      <c r="H168" s="1" t="s">
        <v>238</v>
      </c>
      <c r="I168" s="1" t="s">
        <v>239</v>
      </c>
      <c r="J168" s="1" t="s">
        <v>215</v>
      </c>
      <c r="K168" s="1" t="s">
        <v>240</v>
      </c>
    </row>
    <row r="169" spans="1:11" x14ac:dyDescent="0.35">
      <c r="A169" s="1" t="s">
        <v>161</v>
      </c>
      <c r="B169" s="1" t="s">
        <v>162</v>
      </c>
      <c r="C169" s="1" t="s">
        <v>241</v>
      </c>
      <c r="D169" s="1" t="s">
        <v>211</v>
      </c>
      <c r="E169" s="1" t="s">
        <v>242</v>
      </c>
      <c r="F169" s="1" t="s">
        <v>395</v>
      </c>
      <c r="G169" s="1" t="s">
        <v>241</v>
      </c>
      <c r="H169" s="1" t="s">
        <v>229</v>
      </c>
      <c r="I169" s="1" t="s">
        <v>230</v>
      </c>
      <c r="J169" s="1" t="s">
        <v>215</v>
      </c>
      <c r="K169" s="1" t="s">
        <v>240</v>
      </c>
    </row>
    <row r="170" spans="1:11" x14ac:dyDescent="0.35">
      <c r="A170" s="1" t="s">
        <v>161</v>
      </c>
      <c r="B170" s="1" t="s">
        <v>162</v>
      </c>
      <c r="C170" s="1" t="s">
        <v>244</v>
      </c>
      <c r="D170" s="1" t="s">
        <v>211</v>
      </c>
      <c r="E170" s="1" t="s">
        <v>245</v>
      </c>
      <c r="F170" s="1" t="s">
        <v>246</v>
      </c>
      <c r="G170" s="1" t="s">
        <v>244</v>
      </c>
      <c r="H170" s="1" t="s">
        <v>161</v>
      </c>
      <c r="I170" s="1" t="s">
        <v>214</v>
      </c>
      <c r="J170" s="1" t="s">
        <v>247</v>
      </c>
      <c r="K170" s="1" t="s">
        <v>248</v>
      </c>
    </row>
    <row r="171" spans="1:11" x14ac:dyDescent="0.35">
      <c r="A171" s="1" t="s">
        <v>161</v>
      </c>
      <c r="B171" s="1" t="s">
        <v>162</v>
      </c>
      <c r="C171" s="1" t="s">
        <v>249</v>
      </c>
      <c r="D171" s="1" t="s">
        <v>211</v>
      </c>
      <c r="E171" s="1" t="s">
        <v>250</v>
      </c>
      <c r="F171" s="1" t="s">
        <v>396</v>
      </c>
      <c r="G171" s="1" t="s">
        <v>249</v>
      </c>
      <c r="H171" s="1" t="s">
        <v>252</v>
      </c>
      <c r="I171" s="1" t="s">
        <v>249</v>
      </c>
      <c r="J171" s="1" t="s">
        <v>215</v>
      </c>
      <c r="K171" s="1" t="s">
        <v>240</v>
      </c>
    </row>
    <row r="172" spans="1:11" x14ac:dyDescent="0.35">
      <c r="A172" s="1" t="s">
        <v>170</v>
      </c>
      <c r="B172" s="1" t="s">
        <v>171</v>
      </c>
      <c r="C172" s="1" t="s">
        <v>206</v>
      </c>
      <c r="D172" s="1" t="s">
        <v>206</v>
      </c>
      <c r="E172" s="1" t="s">
        <v>207</v>
      </c>
      <c r="F172" s="1" t="s">
        <v>397</v>
      </c>
      <c r="G172" s="1" t="s">
        <v>209</v>
      </c>
      <c r="H172" s="1" t="s">
        <v>209</v>
      </c>
      <c r="I172" s="1" t="s">
        <v>209</v>
      </c>
      <c r="J172" s="1" t="s">
        <v>209</v>
      </c>
      <c r="K172" s="1" t="s">
        <v>209</v>
      </c>
    </row>
    <row r="173" spans="1:11" x14ac:dyDescent="0.35">
      <c r="A173" s="1" t="s">
        <v>170</v>
      </c>
      <c r="B173" s="1" t="s">
        <v>171</v>
      </c>
      <c r="C173" s="1" t="s">
        <v>210</v>
      </c>
      <c r="D173" s="1" t="s">
        <v>211</v>
      </c>
      <c r="E173" s="1" t="s">
        <v>212</v>
      </c>
      <c r="F173" s="1" t="s">
        <v>398</v>
      </c>
      <c r="G173" s="1" t="s">
        <v>210</v>
      </c>
      <c r="H173" s="1" t="s">
        <v>170</v>
      </c>
      <c r="I173" s="1" t="s">
        <v>214</v>
      </c>
      <c r="J173" s="1" t="s">
        <v>215</v>
      </c>
      <c r="K173" s="1" t="s">
        <v>216</v>
      </c>
    </row>
    <row r="174" spans="1:11" x14ac:dyDescent="0.35">
      <c r="A174" s="1" t="s">
        <v>170</v>
      </c>
      <c r="B174" s="1" t="s">
        <v>171</v>
      </c>
      <c r="C174" s="1" t="s">
        <v>217</v>
      </c>
      <c r="D174" s="1" t="s">
        <v>211</v>
      </c>
      <c r="E174" s="1" t="s">
        <v>218</v>
      </c>
      <c r="F174" s="1" t="s">
        <v>399</v>
      </c>
      <c r="G174" s="1" t="s">
        <v>217</v>
      </c>
      <c r="H174" s="1" t="s">
        <v>220</v>
      </c>
      <c r="I174" s="1" t="s">
        <v>221</v>
      </c>
      <c r="J174" s="1" t="s">
        <v>215</v>
      </c>
      <c r="K174" s="1" t="s">
        <v>222</v>
      </c>
    </row>
    <row r="175" spans="1:11" x14ac:dyDescent="0.35">
      <c r="A175" s="1" t="s">
        <v>170</v>
      </c>
      <c r="B175" s="1" t="s">
        <v>171</v>
      </c>
      <c r="C175" s="1" t="s">
        <v>223</v>
      </c>
      <c r="D175" s="1" t="s">
        <v>211</v>
      </c>
      <c r="E175" s="1" t="s">
        <v>224</v>
      </c>
      <c r="F175" s="1" t="s">
        <v>400</v>
      </c>
      <c r="G175" s="1" t="s">
        <v>223</v>
      </c>
      <c r="H175" s="1" t="s">
        <v>220</v>
      </c>
      <c r="I175" s="1" t="s">
        <v>221</v>
      </c>
      <c r="J175" s="1" t="s">
        <v>215</v>
      </c>
      <c r="K175" s="1" t="s">
        <v>222</v>
      </c>
    </row>
    <row r="176" spans="1:11" x14ac:dyDescent="0.35">
      <c r="A176" s="1" t="s">
        <v>170</v>
      </c>
      <c r="B176" s="1" t="s">
        <v>171</v>
      </c>
      <c r="C176" s="1" t="s">
        <v>226</v>
      </c>
      <c r="D176" s="1" t="s">
        <v>211</v>
      </c>
      <c r="E176" s="1" t="s">
        <v>227</v>
      </c>
      <c r="F176" s="1" t="s">
        <v>401</v>
      </c>
      <c r="G176" s="1" t="s">
        <v>226</v>
      </c>
      <c r="H176" s="1" t="s">
        <v>229</v>
      </c>
      <c r="I176" s="1" t="s">
        <v>230</v>
      </c>
      <c r="J176" s="1" t="s">
        <v>215</v>
      </c>
      <c r="K176" s="1" t="s">
        <v>231</v>
      </c>
    </row>
    <row r="177" spans="1:11" x14ac:dyDescent="0.35">
      <c r="A177" s="1" t="s">
        <v>170</v>
      </c>
      <c r="B177" s="1" t="s">
        <v>171</v>
      </c>
      <c r="C177" s="1" t="s">
        <v>232</v>
      </c>
      <c r="D177" s="1" t="s">
        <v>211</v>
      </c>
      <c r="E177" s="1" t="s">
        <v>233</v>
      </c>
      <c r="F177" s="1" t="s">
        <v>402</v>
      </c>
      <c r="G177" s="1" t="s">
        <v>232</v>
      </c>
      <c r="H177" s="1" t="s">
        <v>220</v>
      </c>
      <c r="I177" s="1" t="s">
        <v>221</v>
      </c>
      <c r="J177" s="1" t="s">
        <v>215</v>
      </c>
      <c r="K177" s="1" t="s">
        <v>231</v>
      </c>
    </row>
    <row r="178" spans="1:11" x14ac:dyDescent="0.35">
      <c r="A178" s="1" t="s">
        <v>170</v>
      </c>
      <c r="B178" s="1" t="s">
        <v>171</v>
      </c>
      <c r="C178" s="1" t="s">
        <v>235</v>
      </c>
      <c r="D178" s="1" t="s">
        <v>211</v>
      </c>
      <c r="E178" s="1" t="s">
        <v>236</v>
      </c>
      <c r="F178" s="1" t="s">
        <v>403</v>
      </c>
      <c r="G178" s="1" t="s">
        <v>235</v>
      </c>
      <c r="H178" s="1" t="s">
        <v>238</v>
      </c>
      <c r="I178" s="1" t="s">
        <v>239</v>
      </c>
      <c r="J178" s="1" t="s">
        <v>215</v>
      </c>
      <c r="K178" s="1" t="s">
        <v>240</v>
      </c>
    </row>
    <row r="179" spans="1:11" x14ac:dyDescent="0.35">
      <c r="A179" s="1" t="s">
        <v>170</v>
      </c>
      <c r="B179" s="1" t="s">
        <v>171</v>
      </c>
      <c r="C179" s="1" t="s">
        <v>241</v>
      </c>
      <c r="D179" s="1" t="s">
        <v>211</v>
      </c>
      <c r="E179" s="1" t="s">
        <v>242</v>
      </c>
      <c r="F179" s="1" t="s">
        <v>404</v>
      </c>
      <c r="G179" s="1" t="s">
        <v>241</v>
      </c>
      <c r="H179" s="1" t="s">
        <v>229</v>
      </c>
      <c r="I179" s="1" t="s">
        <v>230</v>
      </c>
      <c r="J179" s="1" t="s">
        <v>215</v>
      </c>
      <c r="K179" s="1" t="s">
        <v>240</v>
      </c>
    </row>
    <row r="180" spans="1:11" x14ac:dyDescent="0.35">
      <c r="A180" s="1" t="s">
        <v>170</v>
      </c>
      <c r="B180" s="1" t="s">
        <v>171</v>
      </c>
      <c r="C180" s="1" t="s">
        <v>244</v>
      </c>
      <c r="D180" s="1" t="s">
        <v>211</v>
      </c>
      <c r="E180" s="1" t="s">
        <v>245</v>
      </c>
      <c r="F180" s="1" t="s">
        <v>246</v>
      </c>
      <c r="G180" s="1" t="s">
        <v>244</v>
      </c>
      <c r="H180" s="1" t="s">
        <v>170</v>
      </c>
      <c r="I180" s="1" t="s">
        <v>214</v>
      </c>
      <c r="J180" s="1" t="s">
        <v>247</v>
      </c>
      <c r="K180" s="1" t="s">
        <v>248</v>
      </c>
    </row>
    <row r="181" spans="1:11" x14ac:dyDescent="0.35">
      <c r="A181" s="1" t="s">
        <v>170</v>
      </c>
      <c r="B181" s="1" t="s">
        <v>171</v>
      </c>
      <c r="C181" s="1" t="s">
        <v>249</v>
      </c>
      <c r="D181" s="1" t="s">
        <v>211</v>
      </c>
      <c r="E181" s="1" t="s">
        <v>250</v>
      </c>
      <c r="F181" s="1" t="s">
        <v>405</v>
      </c>
      <c r="G181" s="1" t="s">
        <v>249</v>
      </c>
      <c r="H181" s="1" t="s">
        <v>252</v>
      </c>
      <c r="I181" s="1" t="s">
        <v>249</v>
      </c>
      <c r="J181" s="1" t="s">
        <v>215</v>
      </c>
      <c r="K181" s="1" t="s">
        <v>240</v>
      </c>
    </row>
    <row r="182" spans="1:11" x14ac:dyDescent="0.35">
      <c r="A182" s="1" t="s">
        <v>179</v>
      </c>
      <c r="B182" s="1" t="s">
        <v>180</v>
      </c>
      <c r="C182" s="1" t="s">
        <v>206</v>
      </c>
      <c r="D182" s="1" t="s">
        <v>206</v>
      </c>
      <c r="E182" s="1" t="s">
        <v>207</v>
      </c>
      <c r="F182" s="1" t="s">
        <v>406</v>
      </c>
      <c r="G182" s="1" t="s">
        <v>209</v>
      </c>
      <c r="H182" s="1" t="s">
        <v>209</v>
      </c>
      <c r="I182" s="1" t="s">
        <v>209</v>
      </c>
      <c r="J182" s="1" t="s">
        <v>209</v>
      </c>
      <c r="K182" s="1" t="s">
        <v>209</v>
      </c>
    </row>
    <row r="183" spans="1:11" x14ac:dyDescent="0.35">
      <c r="A183" s="1" t="s">
        <v>179</v>
      </c>
      <c r="B183" s="1" t="s">
        <v>180</v>
      </c>
      <c r="C183" s="1" t="s">
        <v>210</v>
      </c>
      <c r="D183" s="1" t="s">
        <v>211</v>
      </c>
      <c r="E183" s="1" t="s">
        <v>212</v>
      </c>
      <c r="F183" s="1" t="s">
        <v>407</v>
      </c>
      <c r="G183" s="1" t="s">
        <v>210</v>
      </c>
      <c r="H183" s="1" t="s">
        <v>179</v>
      </c>
      <c r="I183" s="1" t="s">
        <v>214</v>
      </c>
      <c r="J183" s="1" t="s">
        <v>215</v>
      </c>
      <c r="K183" s="1" t="s">
        <v>216</v>
      </c>
    </row>
    <row r="184" spans="1:11" x14ac:dyDescent="0.35">
      <c r="A184" s="1" t="s">
        <v>179</v>
      </c>
      <c r="B184" s="1" t="s">
        <v>180</v>
      </c>
      <c r="C184" s="1" t="s">
        <v>217</v>
      </c>
      <c r="D184" s="1" t="s">
        <v>211</v>
      </c>
      <c r="E184" s="1" t="s">
        <v>218</v>
      </c>
      <c r="F184" s="1" t="s">
        <v>408</v>
      </c>
      <c r="G184" s="1" t="s">
        <v>217</v>
      </c>
      <c r="H184" s="1" t="s">
        <v>220</v>
      </c>
      <c r="I184" s="1" t="s">
        <v>221</v>
      </c>
      <c r="J184" s="1" t="s">
        <v>215</v>
      </c>
      <c r="K184" s="1" t="s">
        <v>222</v>
      </c>
    </row>
    <row r="185" spans="1:11" x14ac:dyDescent="0.35">
      <c r="A185" s="1" t="s">
        <v>179</v>
      </c>
      <c r="B185" s="1" t="s">
        <v>180</v>
      </c>
      <c r="C185" s="1" t="s">
        <v>223</v>
      </c>
      <c r="D185" s="1" t="s">
        <v>211</v>
      </c>
      <c r="E185" s="1" t="s">
        <v>224</v>
      </c>
      <c r="F185" s="1" t="s">
        <v>409</v>
      </c>
      <c r="G185" s="1" t="s">
        <v>223</v>
      </c>
      <c r="H185" s="1" t="s">
        <v>220</v>
      </c>
      <c r="I185" s="1" t="s">
        <v>221</v>
      </c>
      <c r="J185" s="1" t="s">
        <v>215</v>
      </c>
      <c r="K185" s="1" t="s">
        <v>222</v>
      </c>
    </row>
    <row r="186" spans="1:11" x14ac:dyDescent="0.35">
      <c r="A186" s="1" t="s">
        <v>179</v>
      </c>
      <c r="B186" s="1" t="s">
        <v>180</v>
      </c>
      <c r="C186" s="1" t="s">
        <v>226</v>
      </c>
      <c r="D186" s="1" t="s">
        <v>211</v>
      </c>
      <c r="E186" s="1" t="s">
        <v>227</v>
      </c>
      <c r="F186" s="1" t="s">
        <v>410</v>
      </c>
      <c r="G186" s="1" t="s">
        <v>226</v>
      </c>
      <c r="H186" s="1" t="s">
        <v>229</v>
      </c>
      <c r="I186" s="1" t="s">
        <v>230</v>
      </c>
      <c r="J186" s="1" t="s">
        <v>215</v>
      </c>
      <c r="K186" s="1" t="s">
        <v>231</v>
      </c>
    </row>
    <row r="187" spans="1:11" x14ac:dyDescent="0.35">
      <c r="A187" s="1" t="s">
        <v>179</v>
      </c>
      <c r="B187" s="1" t="s">
        <v>180</v>
      </c>
      <c r="C187" s="1" t="s">
        <v>232</v>
      </c>
      <c r="D187" s="1" t="s">
        <v>211</v>
      </c>
      <c r="E187" s="1" t="s">
        <v>233</v>
      </c>
      <c r="F187" s="1" t="s">
        <v>411</v>
      </c>
      <c r="G187" s="1" t="s">
        <v>232</v>
      </c>
      <c r="H187" s="1" t="s">
        <v>220</v>
      </c>
      <c r="I187" s="1" t="s">
        <v>221</v>
      </c>
      <c r="J187" s="1" t="s">
        <v>215</v>
      </c>
      <c r="K187" s="1" t="s">
        <v>231</v>
      </c>
    </row>
    <row r="188" spans="1:11" x14ac:dyDescent="0.35">
      <c r="A188" s="1" t="s">
        <v>179</v>
      </c>
      <c r="B188" s="1" t="s">
        <v>180</v>
      </c>
      <c r="C188" s="1" t="s">
        <v>235</v>
      </c>
      <c r="D188" s="1" t="s">
        <v>211</v>
      </c>
      <c r="E188" s="1" t="s">
        <v>236</v>
      </c>
      <c r="F188" s="1" t="s">
        <v>412</v>
      </c>
      <c r="G188" s="1" t="s">
        <v>235</v>
      </c>
      <c r="H188" s="1" t="s">
        <v>238</v>
      </c>
      <c r="I188" s="1" t="s">
        <v>239</v>
      </c>
      <c r="J188" s="1" t="s">
        <v>215</v>
      </c>
      <c r="K188" s="1" t="s">
        <v>240</v>
      </c>
    </row>
    <row r="189" spans="1:11" x14ac:dyDescent="0.35">
      <c r="A189" s="1" t="s">
        <v>179</v>
      </c>
      <c r="B189" s="1" t="s">
        <v>180</v>
      </c>
      <c r="C189" s="1" t="s">
        <v>241</v>
      </c>
      <c r="D189" s="1" t="s">
        <v>211</v>
      </c>
      <c r="E189" s="1" t="s">
        <v>242</v>
      </c>
      <c r="F189" s="1" t="s">
        <v>413</v>
      </c>
      <c r="G189" s="1" t="s">
        <v>241</v>
      </c>
      <c r="H189" s="1" t="s">
        <v>229</v>
      </c>
      <c r="I189" s="1" t="s">
        <v>230</v>
      </c>
      <c r="J189" s="1" t="s">
        <v>215</v>
      </c>
      <c r="K189" s="1" t="s">
        <v>240</v>
      </c>
    </row>
    <row r="190" spans="1:11" x14ac:dyDescent="0.35">
      <c r="A190" s="1" t="s">
        <v>179</v>
      </c>
      <c r="B190" s="1" t="s">
        <v>180</v>
      </c>
      <c r="C190" s="1" t="s">
        <v>244</v>
      </c>
      <c r="D190" s="1" t="s">
        <v>211</v>
      </c>
      <c r="E190" s="1" t="s">
        <v>245</v>
      </c>
      <c r="F190" s="1" t="s">
        <v>246</v>
      </c>
      <c r="G190" s="1" t="s">
        <v>244</v>
      </c>
      <c r="H190" s="1" t="s">
        <v>179</v>
      </c>
      <c r="I190" s="1" t="s">
        <v>214</v>
      </c>
      <c r="J190" s="1" t="s">
        <v>247</v>
      </c>
      <c r="K190" s="1" t="s">
        <v>248</v>
      </c>
    </row>
    <row r="191" spans="1:11" x14ac:dyDescent="0.35">
      <c r="A191" s="1" t="s">
        <v>179</v>
      </c>
      <c r="B191" s="1" t="s">
        <v>180</v>
      </c>
      <c r="C191" s="1" t="s">
        <v>249</v>
      </c>
      <c r="D191" s="1" t="s">
        <v>211</v>
      </c>
      <c r="E191" s="1" t="s">
        <v>250</v>
      </c>
      <c r="F191" s="1" t="s">
        <v>414</v>
      </c>
      <c r="G191" s="1" t="s">
        <v>249</v>
      </c>
      <c r="H191" s="1" t="s">
        <v>252</v>
      </c>
      <c r="I191" s="1" t="s">
        <v>249</v>
      </c>
      <c r="J191" s="1" t="s">
        <v>215</v>
      </c>
      <c r="K191" s="1" t="s">
        <v>240</v>
      </c>
    </row>
    <row r="192" spans="1:11" x14ac:dyDescent="0.35">
      <c r="A192" s="1" t="s">
        <v>188</v>
      </c>
      <c r="B192" s="1" t="s">
        <v>189</v>
      </c>
      <c r="C192" s="1" t="s">
        <v>206</v>
      </c>
      <c r="D192" s="1" t="s">
        <v>206</v>
      </c>
      <c r="E192" s="1" t="s">
        <v>207</v>
      </c>
      <c r="F192" s="1" t="s">
        <v>415</v>
      </c>
      <c r="G192" s="1" t="s">
        <v>209</v>
      </c>
      <c r="H192" s="1" t="s">
        <v>209</v>
      </c>
      <c r="I192" s="1" t="s">
        <v>209</v>
      </c>
      <c r="J192" s="1" t="s">
        <v>209</v>
      </c>
      <c r="K192" s="1" t="s">
        <v>209</v>
      </c>
    </row>
    <row r="193" spans="1:11" x14ac:dyDescent="0.35">
      <c r="A193" s="1" t="s">
        <v>188</v>
      </c>
      <c r="B193" s="1" t="s">
        <v>189</v>
      </c>
      <c r="C193" s="1" t="s">
        <v>210</v>
      </c>
      <c r="D193" s="1" t="s">
        <v>211</v>
      </c>
      <c r="E193" s="1" t="s">
        <v>212</v>
      </c>
      <c r="F193" s="1" t="s">
        <v>416</v>
      </c>
      <c r="G193" s="1" t="s">
        <v>210</v>
      </c>
      <c r="H193" s="1" t="s">
        <v>188</v>
      </c>
      <c r="I193" s="1" t="s">
        <v>214</v>
      </c>
      <c r="J193" s="1" t="s">
        <v>215</v>
      </c>
      <c r="K193" s="1" t="s">
        <v>216</v>
      </c>
    </row>
    <row r="194" spans="1:11" x14ac:dyDescent="0.35">
      <c r="A194" s="1" t="s">
        <v>188</v>
      </c>
      <c r="B194" s="1" t="s">
        <v>189</v>
      </c>
      <c r="C194" s="1" t="s">
        <v>217</v>
      </c>
      <c r="D194" s="1" t="s">
        <v>211</v>
      </c>
      <c r="E194" s="1" t="s">
        <v>218</v>
      </c>
      <c r="F194" s="1" t="s">
        <v>417</v>
      </c>
      <c r="G194" s="1" t="s">
        <v>217</v>
      </c>
      <c r="H194" s="1" t="s">
        <v>220</v>
      </c>
      <c r="I194" s="1" t="s">
        <v>221</v>
      </c>
      <c r="J194" s="1" t="s">
        <v>215</v>
      </c>
      <c r="K194" s="1" t="s">
        <v>222</v>
      </c>
    </row>
    <row r="195" spans="1:11" x14ac:dyDescent="0.35">
      <c r="A195" s="1" t="s">
        <v>188</v>
      </c>
      <c r="B195" s="1" t="s">
        <v>189</v>
      </c>
      <c r="C195" s="1" t="s">
        <v>223</v>
      </c>
      <c r="D195" s="1" t="s">
        <v>211</v>
      </c>
      <c r="E195" s="1" t="s">
        <v>224</v>
      </c>
      <c r="F195" s="1" t="s">
        <v>418</v>
      </c>
      <c r="G195" s="1" t="s">
        <v>223</v>
      </c>
      <c r="H195" s="1" t="s">
        <v>220</v>
      </c>
      <c r="I195" s="1" t="s">
        <v>221</v>
      </c>
      <c r="J195" s="1" t="s">
        <v>215</v>
      </c>
      <c r="K195" s="1" t="s">
        <v>222</v>
      </c>
    </row>
    <row r="196" spans="1:11" x14ac:dyDescent="0.35">
      <c r="A196" s="1" t="s">
        <v>188</v>
      </c>
      <c r="B196" s="1" t="s">
        <v>189</v>
      </c>
      <c r="C196" s="1" t="s">
        <v>226</v>
      </c>
      <c r="D196" s="1" t="s">
        <v>211</v>
      </c>
      <c r="E196" s="1" t="s">
        <v>227</v>
      </c>
      <c r="F196" s="1" t="s">
        <v>419</v>
      </c>
      <c r="G196" s="1" t="s">
        <v>226</v>
      </c>
      <c r="H196" s="1" t="s">
        <v>229</v>
      </c>
      <c r="I196" s="1" t="s">
        <v>230</v>
      </c>
      <c r="J196" s="1" t="s">
        <v>215</v>
      </c>
      <c r="K196" s="1" t="s">
        <v>231</v>
      </c>
    </row>
    <row r="197" spans="1:11" x14ac:dyDescent="0.35">
      <c r="A197" s="1" t="s">
        <v>188</v>
      </c>
      <c r="B197" s="1" t="s">
        <v>189</v>
      </c>
      <c r="C197" s="1" t="s">
        <v>232</v>
      </c>
      <c r="D197" s="1" t="s">
        <v>211</v>
      </c>
      <c r="E197" s="1" t="s">
        <v>233</v>
      </c>
      <c r="F197" s="1" t="s">
        <v>420</v>
      </c>
      <c r="G197" s="1" t="s">
        <v>232</v>
      </c>
      <c r="H197" s="1" t="s">
        <v>220</v>
      </c>
      <c r="I197" s="1" t="s">
        <v>221</v>
      </c>
      <c r="J197" s="1" t="s">
        <v>215</v>
      </c>
      <c r="K197" s="1" t="s">
        <v>231</v>
      </c>
    </row>
    <row r="198" spans="1:11" x14ac:dyDescent="0.35">
      <c r="A198" s="1" t="s">
        <v>188</v>
      </c>
      <c r="B198" s="1" t="s">
        <v>189</v>
      </c>
      <c r="C198" s="1" t="s">
        <v>235</v>
      </c>
      <c r="D198" s="1" t="s">
        <v>211</v>
      </c>
      <c r="E198" s="1" t="s">
        <v>236</v>
      </c>
      <c r="F198" s="1" t="s">
        <v>421</v>
      </c>
      <c r="G198" s="1" t="s">
        <v>235</v>
      </c>
      <c r="H198" s="1" t="s">
        <v>238</v>
      </c>
      <c r="I198" s="1" t="s">
        <v>239</v>
      </c>
      <c r="J198" s="1" t="s">
        <v>215</v>
      </c>
      <c r="K198" s="1" t="s">
        <v>240</v>
      </c>
    </row>
    <row r="199" spans="1:11" x14ac:dyDescent="0.35">
      <c r="A199" s="1" t="s">
        <v>188</v>
      </c>
      <c r="B199" s="1" t="s">
        <v>189</v>
      </c>
      <c r="C199" s="1" t="s">
        <v>241</v>
      </c>
      <c r="D199" s="1" t="s">
        <v>211</v>
      </c>
      <c r="E199" s="1" t="s">
        <v>242</v>
      </c>
      <c r="F199" s="1" t="s">
        <v>422</v>
      </c>
      <c r="G199" s="1" t="s">
        <v>241</v>
      </c>
      <c r="H199" s="1" t="s">
        <v>229</v>
      </c>
      <c r="I199" s="1" t="s">
        <v>230</v>
      </c>
      <c r="J199" s="1" t="s">
        <v>215</v>
      </c>
      <c r="K199" s="1" t="s">
        <v>240</v>
      </c>
    </row>
    <row r="200" spans="1:11" x14ac:dyDescent="0.35">
      <c r="A200" s="1" t="s">
        <v>188</v>
      </c>
      <c r="B200" s="1" t="s">
        <v>189</v>
      </c>
      <c r="C200" s="1" t="s">
        <v>244</v>
      </c>
      <c r="D200" s="1" t="s">
        <v>211</v>
      </c>
      <c r="E200" s="1" t="s">
        <v>245</v>
      </c>
      <c r="F200" s="1" t="s">
        <v>246</v>
      </c>
      <c r="G200" s="1" t="s">
        <v>244</v>
      </c>
      <c r="H200" s="1" t="s">
        <v>188</v>
      </c>
      <c r="I200" s="1" t="s">
        <v>214</v>
      </c>
      <c r="J200" s="1" t="s">
        <v>247</v>
      </c>
      <c r="K200" s="1" t="s">
        <v>248</v>
      </c>
    </row>
    <row r="201" spans="1:11" x14ac:dyDescent="0.35">
      <c r="A201" s="1" t="s">
        <v>188</v>
      </c>
      <c r="B201" s="1" t="s">
        <v>189</v>
      </c>
      <c r="C201" s="1" t="s">
        <v>249</v>
      </c>
      <c r="D201" s="1" t="s">
        <v>211</v>
      </c>
      <c r="E201" s="1" t="s">
        <v>250</v>
      </c>
      <c r="F201" s="1" t="s">
        <v>423</v>
      </c>
      <c r="G201" s="1" t="s">
        <v>249</v>
      </c>
      <c r="H201" s="1" t="s">
        <v>252</v>
      </c>
      <c r="I201" s="1" t="s">
        <v>249</v>
      </c>
      <c r="J201" s="1" t="s">
        <v>215</v>
      </c>
      <c r="K201" s="1" t="s"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BF12-714E-4E02-AF7D-DC8AB7E2D4AC}">
  <dimension ref="A1:I21"/>
  <sheetViews>
    <sheetView workbookViewId="0"/>
  </sheetViews>
  <sheetFormatPr defaultRowHeight="14.5" x14ac:dyDescent="0.35"/>
  <cols>
    <col min="1" max="1" width="12.26953125" customWidth="1"/>
    <col min="2" max="2" width="11.6328125" customWidth="1"/>
    <col min="3" max="3" width="25.36328125" customWidth="1"/>
    <col min="4" max="4" width="21.7265625" customWidth="1"/>
    <col min="5" max="5" width="15.08984375" customWidth="1"/>
    <col min="6" max="6" width="19" customWidth="1"/>
    <col min="7" max="7" width="15.54296875" customWidth="1"/>
    <col min="8" max="8" width="19" customWidth="1"/>
    <col min="9" max="9" width="22.54296875" customWidth="1"/>
  </cols>
  <sheetData>
    <row r="1" spans="1:9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  <row r="3" spans="1:9" x14ac:dyDescent="0.3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</row>
    <row r="4" spans="1:9" x14ac:dyDescent="0.3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</row>
    <row r="5" spans="1:9" x14ac:dyDescent="0.3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</row>
    <row r="6" spans="1:9" x14ac:dyDescent="0.35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</row>
    <row r="7" spans="1:9" x14ac:dyDescent="0.35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</row>
    <row r="8" spans="1:9" x14ac:dyDescent="0.35">
      <c r="A8" s="1" t="s">
        <v>71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</row>
    <row r="9" spans="1:9" x14ac:dyDescent="0.35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</row>
    <row r="10" spans="1:9" x14ac:dyDescent="0.35">
      <c r="A10" s="1" t="s">
        <v>89</v>
      </c>
      <c r="B10" s="1" t="s">
        <v>90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97</v>
      </c>
    </row>
    <row r="11" spans="1:9" x14ac:dyDescent="0.35">
      <c r="A11" s="1" t="s">
        <v>98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105</v>
      </c>
      <c r="I11" s="1" t="s">
        <v>106</v>
      </c>
    </row>
    <row r="12" spans="1:9" x14ac:dyDescent="0.35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111</v>
      </c>
      <c r="F12" s="1" t="s">
        <v>112</v>
      </c>
      <c r="G12" s="1" t="s">
        <v>113</v>
      </c>
      <c r="H12" s="1" t="s">
        <v>114</v>
      </c>
      <c r="I12" s="1" t="s">
        <v>115</v>
      </c>
    </row>
    <row r="13" spans="1:9" x14ac:dyDescent="0.35">
      <c r="A13" s="1" t="s">
        <v>116</v>
      </c>
      <c r="B13" s="1" t="s">
        <v>117</v>
      </c>
      <c r="C13" s="1" t="s">
        <v>118</v>
      </c>
      <c r="D13" s="1" t="s">
        <v>119</v>
      </c>
      <c r="E13" s="1" t="s">
        <v>120</v>
      </c>
      <c r="F13" s="1" t="s">
        <v>121</v>
      </c>
      <c r="G13" s="1" t="s">
        <v>122</v>
      </c>
      <c r="H13" s="1" t="s">
        <v>123</v>
      </c>
      <c r="I13" s="1" t="s">
        <v>124</v>
      </c>
    </row>
    <row r="14" spans="1:9" x14ac:dyDescent="0.35">
      <c r="A14" s="1" t="s">
        <v>125</v>
      </c>
      <c r="B14" s="1" t="s">
        <v>126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131</v>
      </c>
      <c r="H14" s="1" t="s">
        <v>132</v>
      </c>
      <c r="I14" s="1" t="s">
        <v>133</v>
      </c>
    </row>
    <row r="15" spans="1:9" x14ac:dyDescent="0.35">
      <c r="A15" s="1" t="s">
        <v>134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139</v>
      </c>
      <c r="G15" s="1" t="s">
        <v>140</v>
      </c>
      <c r="H15" s="1" t="s">
        <v>141</v>
      </c>
      <c r="I15" s="1" t="s">
        <v>142</v>
      </c>
    </row>
    <row r="16" spans="1:9" x14ac:dyDescent="0.35">
      <c r="A16" s="1" t="s">
        <v>143</v>
      </c>
      <c r="B16" s="1" t="s">
        <v>144</v>
      </c>
      <c r="C16" s="1" t="s">
        <v>145</v>
      </c>
      <c r="D16" s="1" t="s">
        <v>146</v>
      </c>
      <c r="E16" s="1" t="s">
        <v>147</v>
      </c>
      <c r="F16" s="1" t="s">
        <v>148</v>
      </c>
      <c r="G16" s="1" t="s">
        <v>149</v>
      </c>
      <c r="H16" s="1" t="s">
        <v>150</v>
      </c>
      <c r="I16" s="1" t="s">
        <v>151</v>
      </c>
    </row>
    <row r="17" spans="1:9" x14ac:dyDescent="0.35">
      <c r="A17" s="1" t="s">
        <v>152</v>
      </c>
      <c r="B17" s="1" t="s">
        <v>153</v>
      </c>
      <c r="C17" s="1" t="s">
        <v>154</v>
      </c>
      <c r="D17" s="1" t="s">
        <v>155</v>
      </c>
      <c r="E17" s="1" t="s">
        <v>156</v>
      </c>
      <c r="F17" s="1" t="s">
        <v>157</v>
      </c>
      <c r="G17" s="1" t="s">
        <v>158</v>
      </c>
      <c r="H17" s="1" t="s">
        <v>159</v>
      </c>
      <c r="I17" s="1" t="s">
        <v>160</v>
      </c>
    </row>
    <row r="18" spans="1:9" x14ac:dyDescent="0.35">
      <c r="A18" s="1" t="s">
        <v>161</v>
      </c>
      <c r="B18" s="1" t="s">
        <v>162</v>
      </c>
      <c r="C18" s="1" t="s">
        <v>163</v>
      </c>
      <c r="D18" s="1" t="s">
        <v>164</v>
      </c>
      <c r="E18" s="1" t="s">
        <v>165</v>
      </c>
      <c r="F18" s="1" t="s">
        <v>166</v>
      </c>
      <c r="G18" s="1" t="s">
        <v>167</v>
      </c>
      <c r="H18" s="1" t="s">
        <v>168</v>
      </c>
      <c r="I18" s="1" t="s">
        <v>169</v>
      </c>
    </row>
    <row r="19" spans="1:9" x14ac:dyDescent="0.35">
      <c r="A19" s="1" t="s">
        <v>170</v>
      </c>
      <c r="B19" s="1" t="s">
        <v>171</v>
      </c>
      <c r="C19" s="1" t="s">
        <v>172</v>
      </c>
      <c r="D19" s="1" t="s">
        <v>173</v>
      </c>
      <c r="E19" s="1" t="s">
        <v>174</v>
      </c>
      <c r="F19" s="1" t="s">
        <v>175</v>
      </c>
      <c r="G19" s="1" t="s">
        <v>176</v>
      </c>
      <c r="H19" s="1" t="s">
        <v>177</v>
      </c>
      <c r="I19" s="1" t="s">
        <v>178</v>
      </c>
    </row>
    <row r="20" spans="1:9" x14ac:dyDescent="0.35">
      <c r="A20" s="1" t="s">
        <v>179</v>
      </c>
      <c r="B20" s="1" t="s">
        <v>180</v>
      </c>
      <c r="C20" s="1" t="s">
        <v>181</v>
      </c>
      <c r="D20" s="1" t="s">
        <v>182</v>
      </c>
      <c r="E20" s="1" t="s">
        <v>183</v>
      </c>
      <c r="F20" s="1" t="s">
        <v>184</v>
      </c>
      <c r="G20" s="1" t="s">
        <v>185</v>
      </c>
      <c r="H20" s="1" t="s">
        <v>186</v>
      </c>
      <c r="I20" s="1" t="s">
        <v>187</v>
      </c>
    </row>
    <row r="21" spans="1:9" x14ac:dyDescent="0.35">
      <c r="A21" s="1" t="s">
        <v>188</v>
      </c>
      <c r="B21" s="1" t="s">
        <v>189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86B3-B631-41AB-AFAB-0FB0F7700450}">
  <dimension ref="A1:D2"/>
  <sheetViews>
    <sheetView workbookViewId="0"/>
  </sheetViews>
  <sheetFormatPr defaultRowHeight="14.5" x14ac:dyDescent="0.35"/>
  <cols>
    <col min="1" max="1" width="12.81640625" customWidth="1"/>
    <col min="2" max="2" width="13.36328125" customWidth="1"/>
    <col min="3" max="3" width="11.1796875" customWidth="1"/>
    <col min="4" max="4" width="20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A847-6029-44AA-8C95-ED894EEEC4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StructAutomate</vt:lpstr>
      <vt:lpstr>SA_Operations</vt:lpstr>
      <vt:lpstr>SA_Members</vt:lpstr>
      <vt:lpstr>SA_Project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Surawase</dc:creator>
  <cp:lastModifiedBy>Pravin Surawase</cp:lastModifiedBy>
  <dcterms:created xsi:type="dcterms:W3CDTF">2026-09-04T05:45:21Z</dcterms:created>
  <dcterms:modified xsi:type="dcterms:W3CDTF">2026-09-04T05:45:24Z</dcterms:modified>
</cp:coreProperties>
</file>